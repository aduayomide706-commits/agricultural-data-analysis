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er Records" sheetId="1" state="visible" r:id="rId1"/>
    <sheet xmlns:r="http://schemas.openxmlformats.org/officeDocument/2006/relationships" name="Data Cleaning Log" sheetId="2" state="visible" r:id="rId2"/>
    <sheet xmlns:r="http://schemas.openxmlformats.org/officeDocument/2006/relationships" name="Analysis &amp; Pivot Summary" sheetId="3" state="visible" r:id="rId3"/>
    <sheet xmlns:r="http://schemas.openxmlformats.org/officeDocument/2006/relationships" name="Charts &amp; Trends" sheetId="4" state="visible" r:id="rId4"/>
    <sheet xmlns:r="http://schemas.openxmlformats.org/officeDocument/2006/relationships" name="Summary Report" sheetId="5" state="visible" r:id="rId5"/>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10">
    <font>
      <name val="Calibri"/>
      <family val="2"/>
      <color theme="1"/>
      <sz val="11"/>
      <scheme val="minor"/>
    </font>
    <font>
      <name val="Arial"/>
      <b val="1"/>
      <color rgb="00FFFFFF"/>
      <sz val="10"/>
    </font>
    <font>
      <name val="Arial"/>
      <color rgb="001A1A1A"/>
      <sz val="10"/>
    </font>
    <font>
      <name val="Arial"/>
      <b val="1"/>
      <color rgb="00FFFFFF"/>
      <sz val="13"/>
    </font>
    <font>
      <name val="Arial"/>
      <b val="1"/>
      <color rgb="001E7E34"/>
      <sz val="10"/>
    </font>
    <font>
      <name val="Arial"/>
      <b val="1"/>
      <color rgb="002E6DA4"/>
      <sz val="10"/>
    </font>
    <font>
      <name val="Arial"/>
      <b val="1"/>
      <color rgb="00FFFFFF"/>
      <sz val="11"/>
    </font>
    <font>
      <name val="Arial"/>
      <b val="1"/>
      <color rgb="001B2A4A"/>
      <sz val="10"/>
    </font>
    <font>
      <name val="Arial"/>
      <b val="1"/>
      <color rgb="00FFFFFF"/>
      <sz val="12"/>
    </font>
    <font>
      <name val="Arial"/>
      <sz val="10"/>
    </font>
  </fonts>
  <fills count="7">
    <fill>
      <patternFill/>
    </fill>
    <fill>
      <patternFill patternType="gray125"/>
    </fill>
    <fill>
      <patternFill patternType="solid">
        <fgColor rgb="001B2A4A"/>
      </patternFill>
    </fill>
    <fill>
      <patternFill patternType="solid">
        <fgColor rgb="00FFFFFF"/>
      </patternFill>
    </fill>
    <fill>
      <patternFill patternType="solid">
        <fgColor rgb="00F4F6F9"/>
      </patternFill>
    </fill>
    <fill>
      <patternFill patternType="solid">
        <fgColor rgb="002E6DA4"/>
      </patternFill>
    </fill>
    <fill>
      <patternFill patternType="solid">
        <fgColor rgb="00D8E4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2" fontId="2" fillId="3" borderId="1" applyAlignment="1" pivotButton="0" quotePrefix="0" xfId="0">
      <alignment horizontal="center" vertical="center"/>
    </xf>
    <xf numFmtId="164" fontId="2" fillId="3"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2" fontId="2" fillId="4" borderId="1" applyAlignment="1" pivotButton="0" quotePrefix="0" xfId="0">
      <alignment horizontal="center" vertical="center"/>
    </xf>
    <xf numFmtId="164" fontId="2" fillId="4" borderId="1" applyAlignment="1" pivotButton="0" quotePrefix="0" xfId="0">
      <alignment horizontal="center" vertical="center"/>
    </xf>
    <xf numFmtId="0" fontId="3" fillId="2" borderId="0" applyAlignment="1" pivotButton="0" quotePrefix="0" xfId="0">
      <alignment horizontal="left" vertical="center"/>
    </xf>
    <xf numFmtId="0" fontId="1" fillId="5" borderId="0" applyAlignment="1" pivotButton="0" quotePrefix="0" xfId="0">
      <alignment horizontal="center" vertical="center"/>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left" vertical="center" wrapText="1"/>
    </xf>
    <xf numFmtId="0" fontId="4" fillId="4" borderId="1" applyAlignment="1" pivotButton="0" quotePrefix="0" xfId="0">
      <alignment horizontal="left" vertical="center" wrapText="1"/>
    </xf>
    <xf numFmtId="0" fontId="6" fillId="5" borderId="0" applyAlignment="1" pivotButton="0" quotePrefix="0" xfId="0">
      <alignment horizontal="left" vertical="center"/>
    </xf>
    <xf numFmtId="0" fontId="7" fillId="6" borderId="0" applyAlignment="1" pivotButton="0" quotePrefix="0" xfId="0">
      <alignment horizontal="center" vertical="center"/>
    </xf>
    <xf numFmtId="165" fontId="2" fillId="4" borderId="1" applyAlignment="1" pivotButton="0" quotePrefix="0" xfId="0">
      <alignment horizontal="center" vertical="center"/>
    </xf>
    <xf numFmtId="1" fontId="2" fillId="4" borderId="1" applyAlignment="1" pivotButton="0" quotePrefix="0" xfId="0">
      <alignment horizontal="center" vertical="center"/>
    </xf>
    <xf numFmtId="165" fontId="2" fillId="3" borderId="1" applyAlignment="1" pivotButton="0" quotePrefix="0" xfId="0">
      <alignment horizontal="center" vertical="center"/>
    </xf>
    <xf numFmtId="1" fontId="2" fillId="3" borderId="1" applyAlignment="1" pivotButton="0" quotePrefix="0" xfId="0">
      <alignment horizontal="center" vertical="center"/>
    </xf>
    <xf numFmtId="0" fontId="8" fillId="2" borderId="0" applyAlignment="1" pivotButton="0" quotePrefix="0" xfId="0">
      <alignment horizontal="left" vertical="center"/>
    </xf>
    <xf numFmtId="0" fontId="7" fillId="0" borderId="0" pivotButton="0" quotePrefix="0" xfId="0"/>
    <xf numFmtId="0" fontId="9" fillId="0" borderId="0" pivotButton="0" quotePrefix="0" xfId="0"/>
    <xf numFmtId="0" fontId="8" fillId="5" borderId="0" applyAlignment="1" pivotButton="0" quotePrefix="0" xfId="0">
      <alignment horizontal="left" vertical="center"/>
    </xf>
    <xf numFmtId="0" fontId="9"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Yield by Crop Type (T/Ha)</a:t>
            </a:r>
          </a:p>
        </rich>
      </tx>
    </title>
    <plotArea>
      <barChart>
        <barDir val="col"/>
        <grouping val="clustered"/>
        <ser>
          <idx val="0"/>
          <order val="0"/>
          <tx>
            <strRef>
              <f>'Charts &amp; Trends'!B3</f>
            </strRef>
          </tx>
          <spPr>
            <a:solidFill xmlns:a="http://schemas.openxmlformats.org/drawingml/2006/main">
              <a:srgbClr val="2E6DA4"/>
            </a:solidFill>
            <a:ln xmlns:a="http://schemas.openxmlformats.org/drawingml/2006/main">
              <a:prstDash val="solid"/>
            </a:ln>
          </spPr>
          <cat>
            <numRef>
              <f>'Charts &amp; Trends'!$A$4:$A$8</f>
            </numRef>
          </cat>
          <val>
            <numRef>
              <f>'Charts &amp; Trends'!$B$4:$B$8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Crop</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Yield (T/Ha)</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Total Revenue by LGA (₦)</a:t>
            </a:r>
          </a:p>
        </rich>
      </tx>
    </title>
    <plotArea>
      <barChart>
        <barDir val="col"/>
        <grouping val="clustered"/>
        <ser>
          <idx val="0"/>
          <order val="0"/>
          <tx>
            <strRef>
              <f>'Charts &amp; Trends'!E3</f>
            </strRef>
          </tx>
          <spPr>
            <a:solidFill xmlns:a="http://schemas.openxmlformats.org/drawingml/2006/main">
              <a:srgbClr val="1E7E34"/>
            </a:solidFill>
            <a:ln xmlns:a="http://schemas.openxmlformats.org/drawingml/2006/main">
              <a:prstDash val="solid"/>
            </a:ln>
          </spPr>
          <cat>
            <numRef>
              <f>'Charts &amp; Trends'!$D$4:$D$8</f>
            </numRef>
          </cat>
          <val>
            <numRef>
              <f>'Charts &amp; Trends'!$E$4:$E$8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LGA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4</row>
      <rowOff>0</rowOff>
    </from>
    <ext cx="54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4</row>
      <rowOff>0</rowOff>
    </from>
    <ext cx="540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2A4A"/>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16" customWidth="1" min="4" max="4"/>
    <col width="12" customWidth="1" min="5" max="5"/>
    <col width="10" customWidth="1" min="6" max="6"/>
    <col width="11" customWidth="1" min="7" max="7"/>
    <col width="16" customWidth="1" min="8" max="8"/>
    <col width="16" customWidth="1" min="9" max="9"/>
    <col width="10" customWidth="1" min="10" max="10"/>
    <col width="8" customWidth="1" min="11" max="11"/>
    <col width="16" customWidth="1" min="12" max="12"/>
  </cols>
  <sheetData>
    <row r="1" ht="28" customHeight="1">
      <c r="A1" s="1" t="inlineStr">
        <is>
          <t>Farmer ID</t>
        </is>
      </c>
      <c r="B1" s="1" t="inlineStr">
        <is>
          <t>Farmer Name</t>
        </is>
      </c>
      <c r="C1" s="1" t="inlineStr">
        <is>
          <t>LGA</t>
        </is>
      </c>
      <c r="D1" s="1" t="inlineStr">
        <is>
          <t>Farm Size (Ha)</t>
        </is>
      </c>
      <c r="E1" s="1" t="inlineStr">
        <is>
          <t>Crop Type</t>
        </is>
      </c>
      <c r="F1" s="1" t="inlineStr">
        <is>
          <t>Soil Type</t>
        </is>
      </c>
      <c r="G1" s="1" t="inlineStr">
        <is>
          <t>Irrigation</t>
        </is>
      </c>
      <c r="H1" s="1" t="inlineStr">
        <is>
          <t>Fertilizer Used</t>
        </is>
      </c>
      <c r="I1" s="1" t="inlineStr">
        <is>
          <t>Yield (Tonnes/Ha)</t>
        </is>
      </c>
      <c r="J1" s="1" t="inlineStr">
        <is>
          <t>Season</t>
        </is>
      </c>
      <c r="K1" s="1" t="inlineStr">
        <is>
          <t>Year</t>
        </is>
      </c>
      <c r="L1" s="1" t="inlineStr">
        <is>
          <t>Revenue (₦)</t>
        </is>
      </c>
    </row>
    <row r="2">
      <c r="A2" s="2" t="inlineStr">
        <is>
          <t>F001</t>
        </is>
      </c>
      <c r="B2" s="3" t="inlineStr">
        <is>
          <t>Adewale Bello</t>
        </is>
      </c>
      <c r="C2" s="3" t="inlineStr">
        <is>
          <t>Akure South</t>
        </is>
      </c>
      <c r="D2" s="2" t="n">
        <v>1.1</v>
      </c>
      <c r="E2" s="2" t="inlineStr">
        <is>
          <t>Cassava</t>
        </is>
      </c>
      <c r="F2" s="2" t="inlineStr">
        <is>
          <t>Clay</t>
        </is>
      </c>
      <c r="G2" s="2" t="inlineStr">
        <is>
          <t>Yes</t>
        </is>
      </c>
      <c r="H2" s="2" t="inlineStr">
        <is>
          <t>Urea</t>
        </is>
      </c>
      <c r="I2" s="4" t="n">
        <v>13.16</v>
      </c>
      <c r="J2" s="2" t="inlineStr">
        <is>
          <t>Wet</t>
        </is>
      </c>
      <c r="K2" s="2" t="n">
        <v>2024</v>
      </c>
      <c r="L2" s="5" t="n">
        <v>1230460</v>
      </c>
    </row>
    <row r="3">
      <c r="A3" s="6" t="inlineStr">
        <is>
          <t>F002</t>
        </is>
      </c>
      <c r="B3" s="7" t="inlineStr">
        <is>
          <t>Funke Adesanya</t>
        </is>
      </c>
      <c r="C3" s="7" t="inlineStr">
        <is>
          <t>Odigbo</t>
        </is>
      </c>
      <c r="D3" s="6" t="n">
        <v>0.9</v>
      </c>
      <c r="E3" s="6" t="inlineStr">
        <is>
          <t>Cassava</t>
        </is>
      </c>
      <c r="F3" s="6" t="inlineStr">
        <is>
          <t>Silty</t>
        </is>
      </c>
      <c r="G3" s="6" t="inlineStr">
        <is>
          <t>Yes</t>
        </is>
      </c>
      <c r="H3" s="6" t="inlineStr">
        <is>
          <t>NPK</t>
        </is>
      </c>
      <c r="I3" s="8" t="n">
        <v>12.49</v>
      </c>
      <c r="J3" s="6" t="inlineStr">
        <is>
          <t>Wet</t>
        </is>
      </c>
      <c r="K3" s="6" t="n">
        <v>2024</v>
      </c>
      <c r="L3" s="9" t="n">
        <v>955485</v>
      </c>
    </row>
    <row r="4">
      <c r="A4" s="2" t="inlineStr">
        <is>
          <t>F003</t>
        </is>
      </c>
      <c r="B4" s="3" t="inlineStr">
        <is>
          <t>Chukwu Eze</t>
        </is>
      </c>
      <c r="C4" s="3" t="inlineStr">
        <is>
          <t>Odigbo</t>
        </is>
      </c>
      <c r="D4" s="2" t="n">
        <v>3.2</v>
      </c>
      <c r="E4" s="2" t="inlineStr">
        <is>
          <t>Maize</t>
        </is>
      </c>
      <c r="F4" s="2" t="inlineStr">
        <is>
          <t>Silty</t>
        </is>
      </c>
      <c r="G4" s="2" t="inlineStr">
        <is>
          <t>Yes</t>
        </is>
      </c>
      <c r="H4" s="2" t="inlineStr">
        <is>
          <t>None</t>
        </is>
      </c>
      <c r="I4" s="4" t="n">
        <v>4.21</v>
      </c>
      <c r="J4" s="2" t="inlineStr">
        <is>
          <t>Wet</t>
        </is>
      </c>
      <c r="K4" s="2" t="n">
        <v>2022</v>
      </c>
      <c r="L4" s="5" t="n">
        <v>1616640</v>
      </c>
    </row>
    <row r="5">
      <c r="A5" s="6" t="inlineStr">
        <is>
          <t>F004</t>
        </is>
      </c>
      <c r="B5" s="7" t="inlineStr">
        <is>
          <t>Amina Sule</t>
        </is>
      </c>
      <c r="C5" s="7" t="inlineStr">
        <is>
          <t>Ifedore</t>
        </is>
      </c>
      <c r="D5" s="6" t="n">
        <v>1</v>
      </c>
      <c r="E5" s="6" t="inlineStr">
        <is>
          <t>Yam</t>
        </is>
      </c>
      <c r="F5" s="6" t="inlineStr">
        <is>
          <t>Sandy</t>
        </is>
      </c>
      <c r="G5" s="6" t="inlineStr">
        <is>
          <t>Yes</t>
        </is>
      </c>
      <c r="H5" s="6" t="inlineStr">
        <is>
          <t>Organic</t>
        </is>
      </c>
      <c r="I5" s="8" t="n">
        <v>14.15</v>
      </c>
      <c r="J5" s="6" t="inlineStr">
        <is>
          <t>Dry</t>
        </is>
      </c>
      <c r="K5" s="6" t="n">
        <v>2022</v>
      </c>
      <c r="L5" s="9" t="n">
        <v>2830000</v>
      </c>
    </row>
    <row r="6">
      <c r="A6" s="2" t="inlineStr">
        <is>
          <t>F005</t>
        </is>
      </c>
      <c r="B6" s="3" t="inlineStr">
        <is>
          <t>Rotimi Ogundimu</t>
        </is>
      </c>
      <c r="C6" s="3" t="inlineStr">
        <is>
          <t>Ifedore</t>
        </is>
      </c>
      <c r="D6" s="2" t="n">
        <v>2.9</v>
      </c>
      <c r="E6" s="2" t="inlineStr">
        <is>
          <t>Plantain</t>
        </is>
      </c>
      <c r="F6" s="2" t="inlineStr">
        <is>
          <t>Clay</t>
        </is>
      </c>
      <c r="G6" s="2" t="inlineStr">
        <is>
          <t>Yes</t>
        </is>
      </c>
      <c r="H6" s="2" t="inlineStr">
        <is>
          <t>None</t>
        </is>
      </c>
      <c r="I6" s="4" t="n">
        <v>9.289999999999999</v>
      </c>
      <c r="J6" s="2" t="inlineStr">
        <is>
          <t>Dry</t>
        </is>
      </c>
      <c r="K6" s="2" t="n">
        <v>2022</v>
      </c>
      <c r="L6" s="5" t="n">
        <v>4041150</v>
      </c>
    </row>
    <row r="7">
      <c r="A7" s="6" t="inlineStr">
        <is>
          <t>F006</t>
        </is>
      </c>
      <c r="B7" s="7" t="inlineStr">
        <is>
          <t>Ngozi Obi</t>
        </is>
      </c>
      <c r="C7" s="7" t="inlineStr">
        <is>
          <t>Odigbo</t>
        </is>
      </c>
      <c r="D7" s="6" t="n">
        <v>3.5</v>
      </c>
      <c r="E7" s="6" t="inlineStr">
        <is>
          <t>Yam</t>
        </is>
      </c>
      <c r="F7" s="6" t="inlineStr">
        <is>
          <t>Sandy</t>
        </is>
      </c>
      <c r="G7" s="6" t="inlineStr">
        <is>
          <t>Yes</t>
        </is>
      </c>
      <c r="H7" s="6" t="inlineStr">
        <is>
          <t>NPK</t>
        </is>
      </c>
      <c r="I7" s="8" t="n">
        <v>17.13</v>
      </c>
      <c r="J7" s="6" t="inlineStr">
        <is>
          <t>Dry</t>
        </is>
      </c>
      <c r="K7" s="6" t="n">
        <v>2022</v>
      </c>
      <c r="L7" s="9" t="n">
        <v>11991000</v>
      </c>
    </row>
    <row r="8">
      <c r="A8" s="2" t="inlineStr">
        <is>
          <t>F007</t>
        </is>
      </c>
      <c r="B8" s="3" t="inlineStr">
        <is>
          <t>Yusuf Musa</t>
        </is>
      </c>
      <c r="C8" s="3" t="inlineStr">
        <is>
          <t>Akure South</t>
        </is>
      </c>
      <c r="D8" s="2" t="n">
        <v>1.2</v>
      </c>
      <c r="E8" s="2" t="inlineStr">
        <is>
          <t>Soybean</t>
        </is>
      </c>
      <c r="F8" s="2" t="inlineStr">
        <is>
          <t>Clay</t>
        </is>
      </c>
      <c r="G8" s="2" t="inlineStr">
        <is>
          <t>No</t>
        </is>
      </c>
      <c r="H8" s="2" t="inlineStr">
        <is>
          <t>Organic</t>
        </is>
      </c>
      <c r="I8" s="4" t="n">
        <v>2.56</v>
      </c>
      <c r="J8" s="2" t="inlineStr">
        <is>
          <t>Dry</t>
        </is>
      </c>
      <c r="K8" s="2" t="n">
        <v>2022</v>
      </c>
      <c r="L8" s="5" t="n">
        <v>768000</v>
      </c>
    </row>
    <row r="9">
      <c r="A9" s="6" t="inlineStr">
        <is>
          <t>F008</t>
        </is>
      </c>
      <c r="B9" s="7" t="inlineStr">
        <is>
          <t>Taiwo Adeyemi</t>
        </is>
      </c>
      <c r="C9" s="7" t="inlineStr">
        <is>
          <t>Akure South</t>
        </is>
      </c>
      <c r="D9" s="6" t="n">
        <v>2.6</v>
      </c>
      <c r="E9" s="6" t="inlineStr">
        <is>
          <t>Plantain</t>
        </is>
      </c>
      <c r="F9" s="6" t="inlineStr">
        <is>
          <t>Sandy</t>
        </is>
      </c>
      <c r="G9" s="6" t="inlineStr">
        <is>
          <t>Yes</t>
        </is>
      </c>
      <c r="H9" s="6" t="inlineStr">
        <is>
          <t>Urea</t>
        </is>
      </c>
      <c r="I9" s="8" t="n">
        <v>11.29</v>
      </c>
      <c r="J9" s="6" t="inlineStr">
        <is>
          <t>Dry</t>
        </is>
      </c>
      <c r="K9" s="6" t="n">
        <v>2024</v>
      </c>
      <c r="L9" s="9" t="n">
        <v>4403100</v>
      </c>
    </row>
    <row r="10">
      <c r="A10" s="2" t="inlineStr">
        <is>
          <t>F009</t>
        </is>
      </c>
      <c r="B10" s="3" t="inlineStr">
        <is>
          <t>Blessing Nwosu</t>
        </is>
      </c>
      <c r="C10" s="3" t="inlineStr">
        <is>
          <t>Ondo West</t>
        </is>
      </c>
      <c r="D10" s="2" t="n">
        <v>4.1</v>
      </c>
      <c r="E10" s="2" t="inlineStr">
        <is>
          <t>Yam</t>
        </is>
      </c>
      <c r="F10" s="2" t="inlineStr">
        <is>
          <t>Loamy</t>
        </is>
      </c>
      <c r="G10" s="2" t="inlineStr">
        <is>
          <t>Yes</t>
        </is>
      </c>
      <c r="H10" s="2" t="inlineStr">
        <is>
          <t>NPK</t>
        </is>
      </c>
      <c r="I10" s="4" t="n">
        <v>13.22</v>
      </c>
      <c r="J10" s="2" t="inlineStr">
        <is>
          <t>Dry</t>
        </is>
      </c>
      <c r="K10" s="2" t="n">
        <v>2023</v>
      </c>
      <c r="L10" s="5" t="n">
        <v>10840400</v>
      </c>
    </row>
    <row r="11">
      <c r="A11" s="6" t="inlineStr">
        <is>
          <t>F010</t>
        </is>
      </c>
      <c r="B11" s="7" t="inlineStr">
        <is>
          <t>Segun Falade</t>
        </is>
      </c>
      <c r="C11" s="7" t="inlineStr">
        <is>
          <t>Odigbo</t>
        </is>
      </c>
      <c r="D11" s="6" t="n">
        <v>4.5</v>
      </c>
      <c r="E11" s="6" t="inlineStr">
        <is>
          <t>Yam</t>
        </is>
      </c>
      <c r="F11" s="6" t="inlineStr">
        <is>
          <t>Sandy</t>
        </is>
      </c>
      <c r="G11" s="6" t="inlineStr">
        <is>
          <t>No</t>
        </is>
      </c>
      <c r="H11" s="6" t="inlineStr">
        <is>
          <t>None</t>
        </is>
      </c>
      <c r="I11" s="8" t="n">
        <v>9.06</v>
      </c>
      <c r="J11" s="6" t="inlineStr">
        <is>
          <t>Dry</t>
        </is>
      </c>
      <c r="K11" s="6" t="n">
        <v>2022</v>
      </c>
      <c r="L11" s="9" t="n">
        <v>8154000</v>
      </c>
    </row>
    <row r="12">
      <c r="A12" s="2" t="inlineStr">
        <is>
          <t>F011</t>
        </is>
      </c>
      <c r="B12" s="3" t="inlineStr">
        <is>
          <t>Hauwa Ibrahim</t>
        </is>
      </c>
      <c r="C12" s="3" t="inlineStr">
        <is>
          <t>Ondo West</t>
        </is>
      </c>
      <c r="D12" s="2" t="n">
        <v>2.1</v>
      </c>
      <c r="E12" s="2" t="inlineStr">
        <is>
          <t>Plantain</t>
        </is>
      </c>
      <c r="F12" s="2" t="inlineStr">
        <is>
          <t>Clay</t>
        </is>
      </c>
      <c r="G12" s="2" t="inlineStr">
        <is>
          <t>No</t>
        </is>
      </c>
      <c r="H12" s="2" t="inlineStr">
        <is>
          <t>None</t>
        </is>
      </c>
      <c r="I12" s="4" t="n">
        <v>6.98</v>
      </c>
      <c r="J12" s="2" t="inlineStr">
        <is>
          <t>Wet</t>
        </is>
      </c>
      <c r="K12" s="2" t="n">
        <v>2024</v>
      </c>
      <c r="L12" s="5" t="n">
        <v>2198700</v>
      </c>
    </row>
    <row r="13">
      <c r="A13" s="6" t="inlineStr">
        <is>
          <t>F012</t>
        </is>
      </c>
      <c r="B13" s="7" t="inlineStr">
        <is>
          <t>Kola Ajayi</t>
        </is>
      </c>
      <c r="C13" s="7" t="inlineStr">
        <is>
          <t>Akure South</t>
        </is>
      </c>
      <c r="D13" s="6" t="n">
        <v>3.2</v>
      </c>
      <c r="E13" s="6" t="inlineStr">
        <is>
          <t>Cassava</t>
        </is>
      </c>
      <c r="F13" s="6" t="inlineStr">
        <is>
          <t>Sandy</t>
        </is>
      </c>
      <c r="G13" s="6" t="inlineStr">
        <is>
          <t>Yes</t>
        </is>
      </c>
      <c r="H13" s="6" t="inlineStr">
        <is>
          <t>None</t>
        </is>
      </c>
      <c r="I13" s="8" t="n">
        <v>10.8</v>
      </c>
      <c r="J13" s="6" t="inlineStr">
        <is>
          <t>Dry</t>
        </is>
      </c>
      <c r="K13" s="6" t="n">
        <v>2023</v>
      </c>
      <c r="L13" s="9" t="n">
        <v>2937600</v>
      </c>
    </row>
    <row r="14">
      <c r="A14" s="2" t="inlineStr">
        <is>
          <t>F013</t>
        </is>
      </c>
      <c r="B14" s="3" t="inlineStr">
        <is>
          <t>Emeka Okafor</t>
        </is>
      </c>
      <c r="C14" s="3" t="inlineStr">
        <is>
          <t>Ile-Oluji</t>
        </is>
      </c>
      <c r="D14" s="2" t="n">
        <v>3.6</v>
      </c>
      <c r="E14" s="2" t="inlineStr">
        <is>
          <t>Plantain</t>
        </is>
      </c>
      <c r="F14" s="2" t="inlineStr">
        <is>
          <t>Clay</t>
        </is>
      </c>
      <c r="G14" s="2" t="inlineStr">
        <is>
          <t>Yes</t>
        </is>
      </c>
      <c r="H14" s="2" t="inlineStr">
        <is>
          <t>NPK</t>
        </is>
      </c>
      <c r="I14" s="4" t="n">
        <v>9.83</v>
      </c>
      <c r="J14" s="2" t="inlineStr">
        <is>
          <t>Dry</t>
        </is>
      </c>
      <c r="K14" s="2" t="n">
        <v>2024</v>
      </c>
      <c r="L14" s="5" t="n">
        <v>5308200</v>
      </c>
    </row>
    <row r="15">
      <c r="A15" s="6" t="inlineStr">
        <is>
          <t>F014</t>
        </is>
      </c>
      <c r="B15" s="7" t="inlineStr">
        <is>
          <t>Fatima Aliyu</t>
        </is>
      </c>
      <c r="C15" s="7" t="inlineStr">
        <is>
          <t>Ifedore</t>
        </is>
      </c>
      <c r="D15" s="6" t="n">
        <v>4.8</v>
      </c>
      <c r="E15" s="6" t="inlineStr">
        <is>
          <t>Soybean</t>
        </is>
      </c>
      <c r="F15" s="6" t="inlineStr">
        <is>
          <t>Sandy</t>
        </is>
      </c>
      <c r="G15" s="6" t="inlineStr">
        <is>
          <t>No</t>
        </is>
      </c>
      <c r="H15" s="6" t="inlineStr">
        <is>
          <t>NPK</t>
        </is>
      </c>
      <c r="I15" s="8" t="n">
        <v>2.65</v>
      </c>
      <c r="J15" s="6" t="inlineStr">
        <is>
          <t>Dry</t>
        </is>
      </c>
      <c r="K15" s="6" t="n">
        <v>2024</v>
      </c>
      <c r="L15" s="9" t="n">
        <v>3180000</v>
      </c>
    </row>
    <row r="16">
      <c r="A16" s="2" t="inlineStr">
        <is>
          <t>F015</t>
        </is>
      </c>
      <c r="B16" s="3" t="inlineStr">
        <is>
          <t>Dare Odunsi</t>
        </is>
      </c>
      <c r="C16" s="3" t="inlineStr">
        <is>
          <t>Odigbo</t>
        </is>
      </c>
      <c r="D16" s="2" t="n">
        <v>2.2</v>
      </c>
      <c r="E16" s="2" t="inlineStr">
        <is>
          <t>Cassava</t>
        </is>
      </c>
      <c r="F16" s="2" t="inlineStr">
        <is>
          <t>Clay</t>
        </is>
      </c>
      <c r="G16" s="2" t="inlineStr">
        <is>
          <t>Yes</t>
        </is>
      </c>
      <c r="H16" s="2" t="inlineStr">
        <is>
          <t>Urea</t>
        </is>
      </c>
      <c r="I16" s="4" t="n">
        <v>14.18</v>
      </c>
      <c r="J16" s="2" t="inlineStr">
        <is>
          <t>Wet</t>
        </is>
      </c>
      <c r="K16" s="2" t="n">
        <v>2024</v>
      </c>
      <c r="L16" s="5" t="n">
        <v>2651660</v>
      </c>
    </row>
    <row r="17">
      <c r="A17" s="6" t="inlineStr">
        <is>
          <t>F016</t>
        </is>
      </c>
      <c r="B17" s="7" t="inlineStr">
        <is>
          <t>Chioma Eze</t>
        </is>
      </c>
      <c r="C17" s="7" t="inlineStr">
        <is>
          <t>Odigbo</t>
        </is>
      </c>
      <c r="D17" s="6" t="n">
        <v>1</v>
      </c>
      <c r="E17" s="6" t="inlineStr">
        <is>
          <t>Cassava</t>
        </is>
      </c>
      <c r="F17" s="6" t="inlineStr">
        <is>
          <t>Clay</t>
        </is>
      </c>
      <c r="G17" s="6" t="inlineStr">
        <is>
          <t>No</t>
        </is>
      </c>
      <c r="H17" s="6" t="inlineStr">
        <is>
          <t>NPK</t>
        </is>
      </c>
      <c r="I17" s="8" t="n">
        <v>8.6</v>
      </c>
      <c r="J17" s="6" t="inlineStr">
        <is>
          <t>Dry</t>
        </is>
      </c>
      <c r="K17" s="6" t="n">
        <v>2023</v>
      </c>
      <c r="L17" s="9" t="n">
        <v>731000</v>
      </c>
    </row>
    <row r="18">
      <c r="A18" s="2" t="inlineStr">
        <is>
          <t>F017</t>
        </is>
      </c>
      <c r="B18" s="3" t="inlineStr">
        <is>
          <t>Musa Abdullahi</t>
        </is>
      </c>
      <c r="C18" s="3" t="inlineStr">
        <is>
          <t>Ondo West</t>
        </is>
      </c>
      <c r="D18" s="2" t="n">
        <v>4.2</v>
      </c>
      <c r="E18" s="2" t="inlineStr">
        <is>
          <t>Plantain</t>
        </is>
      </c>
      <c r="F18" s="2" t="inlineStr">
        <is>
          <t>Loamy</t>
        </is>
      </c>
      <c r="G18" s="2" t="inlineStr">
        <is>
          <t>Yes</t>
        </is>
      </c>
      <c r="H18" s="2" t="inlineStr">
        <is>
          <t>None</t>
        </is>
      </c>
      <c r="I18" s="4" t="n">
        <v>10.43</v>
      </c>
      <c r="J18" s="2" t="inlineStr">
        <is>
          <t>Wet</t>
        </is>
      </c>
      <c r="K18" s="2" t="n">
        <v>2022</v>
      </c>
      <c r="L18" s="5" t="n">
        <v>6570900</v>
      </c>
    </row>
    <row r="19">
      <c r="A19" s="6" t="inlineStr">
        <is>
          <t>F018</t>
        </is>
      </c>
      <c r="B19" s="7" t="inlineStr">
        <is>
          <t>Lola Adekunle</t>
        </is>
      </c>
      <c r="C19" s="7" t="inlineStr">
        <is>
          <t>Odigbo</t>
        </is>
      </c>
      <c r="D19" s="6" t="n">
        <v>4.7</v>
      </c>
      <c r="E19" s="6" t="inlineStr">
        <is>
          <t>Maize</t>
        </is>
      </c>
      <c r="F19" s="6" t="inlineStr">
        <is>
          <t>Clay</t>
        </is>
      </c>
      <c r="G19" s="6" t="inlineStr">
        <is>
          <t>No</t>
        </is>
      </c>
      <c r="H19" s="6" t="inlineStr">
        <is>
          <t>Urea</t>
        </is>
      </c>
      <c r="I19" s="8" t="n">
        <v>3.33</v>
      </c>
      <c r="J19" s="6" t="inlineStr">
        <is>
          <t>Wet</t>
        </is>
      </c>
      <c r="K19" s="6" t="n">
        <v>2024</v>
      </c>
      <c r="L19" s="9" t="n">
        <v>1878120</v>
      </c>
    </row>
    <row r="20">
      <c r="A20" s="2" t="inlineStr">
        <is>
          <t>F019</t>
        </is>
      </c>
      <c r="B20" s="3" t="inlineStr">
        <is>
          <t>Tunde Fashola</t>
        </is>
      </c>
      <c r="C20" s="3" t="inlineStr">
        <is>
          <t>Ifedore</t>
        </is>
      </c>
      <c r="D20" s="2" t="n">
        <v>1.5</v>
      </c>
      <c r="E20" s="2" t="inlineStr">
        <is>
          <t>Soybean</t>
        </is>
      </c>
      <c r="F20" s="2" t="inlineStr">
        <is>
          <t>Silty</t>
        </is>
      </c>
      <c r="G20" s="2" t="inlineStr">
        <is>
          <t>Yes</t>
        </is>
      </c>
      <c r="H20" s="2" t="inlineStr">
        <is>
          <t>Urea</t>
        </is>
      </c>
      <c r="I20" s="4" t="n">
        <v>3.11</v>
      </c>
      <c r="J20" s="2" t="inlineStr">
        <is>
          <t>Dry</t>
        </is>
      </c>
      <c r="K20" s="2" t="n">
        <v>2022</v>
      </c>
      <c r="L20" s="5" t="n">
        <v>1166250</v>
      </c>
    </row>
    <row r="21">
      <c r="A21" s="6" t="inlineStr">
        <is>
          <t>F020</t>
        </is>
      </c>
      <c r="B21" s="7" t="inlineStr">
        <is>
          <t>Grace Okon</t>
        </is>
      </c>
      <c r="C21" s="7" t="inlineStr">
        <is>
          <t>Ondo West</t>
        </is>
      </c>
      <c r="D21" s="6" t="n">
        <v>3.7</v>
      </c>
      <c r="E21" s="6" t="inlineStr">
        <is>
          <t>Plantain</t>
        </is>
      </c>
      <c r="F21" s="6" t="inlineStr">
        <is>
          <t>Sandy</t>
        </is>
      </c>
      <c r="G21" s="6" t="inlineStr">
        <is>
          <t>Yes</t>
        </is>
      </c>
      <c r="H21" s="6" t="inlineStr">
        <is>
          <t>NPK</t>
        </is>
      </c>
      <c r="I21" s="8" t="n">
        <v>8.68</v>
      </c>
      <c r="J21" s="6" t="inlineStr">
        <is>
          <t>Wet</t>
        </is>
      </c>
      <c r="K21" s="6" t="n">
        <v>2022</v>
      </c>
      <c r="L21" s="9" t="n">
        <v>4817400</v>
      </c>
    </row>
    <row r="22">
      <c r="A22" s="2" t="inlineStr">
        <is>
          <t>F021</t>
        </is>
      </c>
      <c r="B22" s="3" t="inlineStr">
        <is>
          <t>Adewale Bello</t>
        </is>
      </c>
      <c r="C22" s="3" t="inlineStr">
        <is>
          <t>Akure South</t>
        </is>
      </c>
      <c r="D22" s="2" t="n">
        <v>3.5</v>
      </c>
      <c r="E22" s="2" t="inlineStr">
        <is>
          <t>Yam</t>
        </is>
      </c>
      <c r="F22" s="2" t="inlineStr">
        <is>
          <t>Loamy</t>
        </is>
      </c>
      <c r="G22" s="2" t="inlineStr">
        <is>
          <t>Yes</t>
        </is>
      </c>
      <c r="H22" s="2" t="inlineStr">
        <is>
          <t>Organic</t>
        </is>
      </c>
      <c r="I22" s="4" t="n">
        <v>13.65</v>
      </c>
      <c r="J22" s="2" t="inlineStr">
        <is>
          <t>Wet</t>
        </is>
      </c>
      <c r="K22" s="2" t="n">
        <v>2024</v>
      </c>
      <c r="L22" s="5" t="n">
        <v>9555000</v>
      </c>
    </row>
    <row r="23">
      <c r="A23" s="6" t="inlineStr">
        <is>
          <t>F022</t>
        </is>
      </c>
      <c r="B23" s="7" t="inlineStr">
        <is>
          <t>Funke Adesanya</t>
        </is>
      </c>
      <c r="C23" s="7" t="inlineStr">
        <is>
          <t>Odigbo</t>
        </is>
      </c>
      <c r="D23" s="6" t="n">
        <v>4.1</v>
      </c>
      <c r="E23" s="6" t="inlineStr">
        <is>
          <t>Plantain</t>
        </is>
      </c>
      <c r="F23" s="6" t="inlineStr">
        <is>
          <t>Silty</t>
        </is>
      </c>
      <c r="G23" s="6" t="inlineStr">
        <is>
          <t>Yes</t>
        </is>
      </c>
      <c r="H23" s="6" t="inlineStr">
        <is>
          <t>None</t>
        </is>
      </c>
      <c r="I23" s="8" t="n">
        <v>7.63</v>
      </c>
      <c r="J23" s="6" t="inlineStr">
        <is>
          <t>Wet</t>
        </is>
      </c>
      <c r="K23" s="6" t="n">
        <v>2022</v>
      </c>
      <c r="L23" s="9" t="n">
        <v>4692450</v>
      </c>
    </row>
    <row r="24">
      <c r="A24" s="2" t="inlineStr">
        <is>
          <t>F023</t>
        </is>
      </c>
      <c r="B24" s="3" t="inlineStr">
        <is>
          <t>Chukwu Eze</t>
        </is>
      </c>
      <c r="C24" s="3" t="inlineStr">
        <is>
          <t>Ile-Oluji</t>
        </is>
      </c>
      <c r="D24" s="2" t="n">
        <v>4.4</v>
      </c>
      <c r="E24" s="2" t="inlineStr">
        <is>
          <t>Yam</t>
        </is>
      </c>
      <c r="F24" s="2" t="inlineStr">
        <is>
          <t>Silty</t>
        </is>
      </c>
      <c r="G24" s="2" t="inlineStr">
        <is>
          <t>No</t>
        </is>
      </c>
      <c r="H24" s="2" t="inlineStr">
        <is>
          <t>None</t>
        </is>
      </c>
      <c r="I24" s="4" t="n">
        <v>10.61</v>
      </c>
      <c r="J24" s="2" t="inlineStr">
        <is>
          <t>Wet</t>
        </is>
      </c>
      <c r="K24" s="2" t="n">
        <v>2024</v>
      </c>
      <c r="L24" s="5" t="n">
        <v>9336800</v>
      </c>
    </row>
    <row r="25">
      <c r="A25" s="6" t="inlineStr">
        <is>
          <t>F024</t>
        </is>
      </c>
      <c r="B25" s="7" t="inlineStr">
        <is>
          <t>Amina Sule</t>
        </is>
      </c>
      <c r="C25" s="7" t="inlineStr">
        <is>
          <t>Akure South</t>
        </is>
      </c>
      <c r="D25" s="6" t="n">
        <v>1.6</v>
      </c>
      <c r="E25" s="6" t="inlineStr">
        <is>
          <t>Cassava</t>
        </is>
      </c>
      <c r="F25" s="6" t="inlineStr">
        <is>
          <t>Silty</t>
        </is>
      </c>
      <c r="G25" s="6" t="inlineStr">
        <is>
          <t>No</t>
        </is>
      </c>
      <c r="H25" s="6" t="inlineStr">
        <is>
          <t>NPK</t>
        </is>
      </c>
      <c r="I25" s="8" t="n">
        <v>9.4</v>
      </c>
      <c r="J25" s="6" t="inlineStr">
        <is>
          <t>Wet</t>
        </is>
      </c>
      <c r="K25" s="6" t="n">
        <v>2024</v>
      </c>
      <c r="L25" s="9" t="n">
        <v>1278400</v>
      </c>
    </row>
    <row r="26">
      <c r="A26" s="2" t="inlineStr">
        <is>
          <t>F025</t>
        </is>
      </c>
      <c r="B26" s="3" t="inlineStr">
        <is>
          <t>Rotimi Ogundimu</t>
        </is>
      </c>
      <c r="C26" s="3" t="inlineStr">
        <is>
          <t>Ile-Oluji</t>
        </is>
      </c>
      <c r="D26" s="2" t="n">
        <v>4.4</v>
      </c>
      <c r="E26" s="2" t="inlineStr">
        <is>
          <t>Maize</t>
        </is>
      </c>
      <c r="F26" s="2" t="inlineStr">
        <is>
          <t>Clay</t>
        </is>
      </c>
      <c r="G26" s="2" t="inlineStr">
        <is>
          <t>No</t>
        </is>
      </c>
      <c r="H26" s="2" t="inlineStr">
        <is>
          <t>Urea</t>
        </is>
      </c>
      <c r="I26" s="4" t="n">
        <v>4.04</v>
      </c>
      <c r="J26" s="2" t="inlineStr">
        <is>
          <t>Wet</t>
        </is>
      </c>
      <c r="K26" s="2" t="n">
        <v>2023</v>
      </c>
      <c r="L26" s="5" t="n">
        <v>2133120</v>
      </c>
    </row>
    <row r="27">
      <c r="A27" s="6" t="inlineStr">
        <is>
          <t>F026</t>
        </is>
      </c>
      <c r="B27" s="7" t="inlineStr">
        <is>
          <t>Ngozi Obi</t>
        </is>
      </c>
      <c r="C27" s="7" t="inlineStr">
        <is>
          <t>Odigbo</t>
        </is>
      </c>
      <c r="D27" s="6" t="n">
        <v>4.7</v>
      </c>
      <c r="E27" s="6" t="inlineStr">
        <is>
          <t>Cassava</t>
        </is>
      </c>
      <c r="F27" s="6" t="inlineStr">
        <is>
          <t>Loamy</t>
        </is>
      </c>
      <c r="G27" s="6" t="inlineStr">
        <is>
          <t>Yes</t>
        </is>
      </c>
      <c r="H27" s="6" t="inlineStr">
        <is>
          <t>NPK</t>
        </is>
      </c>
      <c r="I27" s="8" t="n">
        <v>12.32</v>
      </c>
      <c r="J27" s="6" t="inlineStr">
        <is>
          <t>Wet</t>
        </is>
      </c>
      <c r="K27" s="6" t="n">
        <v>2022</v>
      </c>
      <c r="L27" s="9" t="n">
        <v>4921840</v>
      </c>
    </row>
    <row r="28">
      <c r="A28" s="2" t="inlineStr">
        <is>
          <t>F027</t>
        </is>
      </c>
      <c r="B28" s="3" t="inlineStr">
        <is>
          <t>Yusuf Musa</t>
        </is>
      </c>
      <c r="C28" s="3" t="inlineStr">
        <is>
          <t>Ile-Oluji</t>
        </is>
      </c>
      <c r="D28" s="2" t="n">
        <v>2.2</v>
      </c>
      <c r="E28" s="2" t="inlineStr">
        <is>
          <t>Maize</t>
        </is>
      </c>
      <c r="F28" s="2" t="inlineStr">
        <is>
          <t>Silty</t>
        </is>
      </c>
      <c r="G28" s="2" t="inlineStr">
        <is>
          <t>Yes</t>
        </is>
      </c>
      <c r="H28" s="2" t="inlineStr">
        <is>
          <t>Urea</t>
        </is>
      </c>
      <c r="I28" s="4" t="n">
        <v>5.27</v>
      </c>
      <c r="J28" s="2" t="inlineStr">
        <is>
          <t>Dry</t>
        </is>
      </c>
      <c r="K28" s="2" t="n">
        <v>2023</v>
      </c>
      <c r="L28" s="5" t="n">
        <v>1391280</v>
      </c>
    </row>
    <row r="29">
      <c r="A29" s="6" t="inlineStr">
        <is>
          <t>F028</t>
        </is>
      </c>
      <c r="B29" s="7" t="inlineStr">
        <is>
          <t>Taiwo Adeyemi</t>
        </is>
      </c>
      <c r="C29" s="7" t="inlineStr">
        <is>
          <t>Ile-Oluji</t>
        </is>
      </c>
      <c r="D29" s="6" t="n">
        <v>1.4</v>
      </c>
      <c r="E29" s="6" t="inlineStr">
        <is>
          <t>Yam</t>
        </is>
      </c>
      <c r="F29" s="6" t="inlineStr">
        <is>
          <t>Silty</t>
        </is>
      </c>
      <c r="G29" s="6" t="inlineStr">
        <is>
          <t>No</t>
        </is>
      </c>
      <c r="H29" s="6" t="inlineStr">
        <is>
          <t>Urea</t>
        </is>
      </c>
      <c r="I29" s="8" t="n">
        <v>12.38</v>
      </c>
      <c r="J29" s="6" t="inlineStr">
        <is>
          <t>Wet</t>
        </is>
      </c>
      <c r="K29" s="6" t="n">
        <v>2022</v>
      </c>
      <c r="L29" s="9" t="n">
        <v>3466400</v>
      </c>
    </row>
    <row r="30">
      <c r="A30" s="2" t="inlineStr">
        <is>
          <t>F029</t>
        </is>
      </c>
      <c r="B30" s="3" t="inlineStr">
        <is>
          <t>Blessing Nwosu</t>
        </is>
      </c>
      <c r="C30" s="3" t="inlineStr">
        <is>
          <t>Odigbo</t>
        </is>
      </c>
      <c r="D30" s="2" t="n">
        <v>3.1</v>
      </c>
      <c r="E30" s="2" t="inlineStr">
        <is>
          <t>Cassava</t>
        </is>
      </c>
      <c r="F30" s="2" t="inlineStr">
        <is>
          <t>Clay</t>
        </is>
      </c>
      <c r="G30" s="2" t="inlineStr">
        <is>
          <t>Yes</t>
        </is>
      </c>
      <c r="H30" s="2" t="inlineStr">
        <is>
          <t>NPK</t>
        </is>
      </c>
      <c r="I30" s="4" t="n">
        <v>14.21</v>
      </c>
      <c r="J30" s="2" t="inlineStr">
        <is>
          <t>Wet</t>
        </is>
      </c>
      <c r="K30" s="2" t="n">
        <v>2022</v>
      </c>
      <c r="L30" s="5" t="n">
        <v>3744335</v>
      </c>
    </row>
    <row r="31">
      <c r="A31" s="6" t="inlineStr">
        <is>
          <t>F030</t>
        </is>
      </c>
      <c r="B31" s="7" t="inlineStr">
        <is>
          <t>Segun Falade</t>
        </is>
      </c>
      <c r="C31" s="7" t="inlineStr">
        <is>
          <t>Akure South</t>
        </is>
      </c>
      <c r="D31" s="6" t="n">
        <v>2.3</v>
      </c>
      <c r="E31" s="6" t="inlineStr">
        <is>
          <t>Maize</t>
        </is>
      </c>
      <c r="F31" s="6" t="inlineStr">
        <is>
          <t>Loamy</t>
        </is>
      </c>
      <c r="G31" s="6" t="inlineStr">
        <is>
          <t>Yes</t>
        </is>
      </c>
      <c r="H31" s="6" t="inlineStr">
        <is>
          <t>Urea</t>
        </is>
      </c>
      <c r="I31" s="8" t="n">
        <v>4.98</v>
      </c>
      <c r="J31" s="6" t="inlineStr">
        <is>
          <t>Wet</t>
        </is>
      </c>
      <c r="K31" s="6" t="n">
        <v>2024</v>
      </c>
      <c r="L31" s="9" t="n">
        <v>1374480</v>
      </c>
    </row>
    <row r="32">
      <c r="A32" s="2" t="inlineStr">
        <is>
          <t>F031</t>
        </is>
      </c>
      <c r="B32" s="3" t="inlineStr">
        <is>
          <t>Hauwa Ibrahim</t>
        </is>
      </c>
      <c r="C32" s="3" t="inlineStr">
        <is>
          <t>Odigbo</t>
        </is>
      </c>
      <c r="D32" s="2" t="n">
        <v>1.4</v>
      </c>
      <c r="E32" s="2" t="inlineStr">
        <is>
          <t>Cassava</t>
        </is>
      </c>
      <c r="F32" s="2" t="inlineStr">
        <is>
          <t>Silty</t>
        </is>
      </c>
      <c r="G32" s="2" t="inlineStr">
        <is>
          <t>No</t>
        </is>
      </c>
      <c r="H32" s="2" t="inlineStr">
        <is>
          <t>Organic</t>
        </is>
      </c>
      <c r="I32" s="4" t="n">
        <v>8.699999999999999</v>
      </c>
      <c r="J32" s="2" t="inlineStr">
        <is>
          <t>Dry</t>
        </is>
      </c>
      <c r="K32" s="2" t="n">
        <v>2022</v>
      </c>
      <c r="L32" s="5" t="n">
        <v>1035300</v>
      </c>
    </row>
    <row r="33">
      <c r="A33" s="6" t="inlineStr">
        <is>
          <t>F032</t>
        </is>
      </c>
      <c r="B33" s="7" t="inlineStr">
        <is>
          <t>Kola Ajayi</t>
        </is>
      </c>
      <c r="C33" s="7" t="inlineStr">
        <is>
          <t>Ondo West</t>
        </is>
      </c>
      <c r="D33" s="6" t="n">
        <v>0.5</v>
      </c>
      <c r="E33" s="6" t="inlineStr">
        <is>
          <t>Yam</t>
        </is>
      </c>
      <c r="F33" s="6" t="inlineStr">
        <is>
          <t>Silty</t>
        </is>
      </c>
      <c r="G33" s="6" t="inlineStr">
        <is>
          <t>No</t>
        </is>
      </c>
      <c r="H33" s="6" t="inlineStr">
        <is>
          <t>NPK</t>
        </is>
      </c>
      <c r="I33" s="8" t="n">
        <v>12.18</v>
      </c>
      <c r="J33" s="6" t="inlineStr">
        <is>
          <t>Wet</t>
        </is>
      </c>
      <c r="K33" s="6" t="n">
        <v>2022</v>
      </c>
      <c r="L33" s="9" t="n">
        <v>1218000</v>
      </c>
    </row>
    <row r="34">
      <c r="A34" s="2" t="inlineStr">
        <is>
          <t>F033</t>
        </is>
      </c>
      <c r="B34" s="3" t="inlineStr">
        <is>
          <t>Emeka Okafor</t>
        </is>
      </c>
      <c r="C34" s="3" t="inlineStr">
        <is>
          <t>Odigbo</t>
        </is>
      </c>
      <c r="D34" s="2" t="n">
        <v>4.5</v>
      </c>
      <c r="E34" s="2" t="inlineStr">
        <is>
          <t>Yam</t>
        </is>
      </c>
      <c r="F34" s="2" t="inlineStr">
        <is>
          <t>Sandy</t>
        </is>
      </c>
      <c r="G34" s="2" t="inlineStr">
        <is>
          <t>No</t>
        </is>
      </c>
      <c r="H34" s="2" t="inlineStr">
        <is>
          <t>NPK</t>
        </is>
      </c>
      <c r="I34" s="4" t="n">
        <v>10.36</v>
      </c>
      <c r="J34" s="2" t="inlineStr">
        <is>
          <t>Dry</t>
        </is>
      </c>
      <c r="K34" s="2" t="n">
        <v>2023</v>
      </c>
      <c r="L34" s="5" t="n">
        <v>9324000</v>
      </c>
    </row>
    <row r="35">
      <c r="A35" s="6" t="inlineStr">
        <is>
          <t>F034</t>
        </is>
      </c>
      <c r="B35" s="7" t="inlineStr">
        <is>
          <t>Fatima Aliyu</t>
        </is>
      </c>
      <c r="C35" s="7" t="inlineStr">
        <is>
          <t>Odigbo</t>
        </is>
      </c>
      <c r="D35" s="6" t="n">
        <v>4.7</v>
      </c>
      <c r="E35" s="6" t="inlineStr">
        <is>
          <t>Yam</t>
        </is>
      </c>
      <c r="F35" s="6" t="inlineStr">
        <is>
          <t>Loamy</t>
        </is>
      </c>
      <c r="G35" s="6" t="inlineStr">
        <is>
          <t>No</t>
        </is>
      </c>
      <c r="H35" s="6" t="inlineStr">
        <is>
          <t>NPK</t>
        </is>
      </c>
      <c r="I35" s="8" t="n">
        <v>11</v>
      </c>
      <c r="J35" s="6" t="inlineStr">
        <is>
          <t>Wet</t>
        </is>
      </c>
      <c r="K35" s="6" t="n">
        <v>2023</v>
      </c>
      <c r="L35" s="9" t="n">
        <v>10340000</v>
      </c>
    </row>
    <row r="36">
      <c r="A36" s="2" t="inlineStr">
        <is>
          <t>F035</t>
        </is>
      </c>
      <c r="B36" s="3" t="inlineStr">
        <is>
          <t>Dare Odunsi</t>
        </is>
      </c>
      <c r="C36" s="3" t="inlineStr">
        <is>
          <t>Akure South</t>
        </is>
      </c>
      <c r="D36" s="2" t="n">
        <v>3.2</v>
      </c>
      <c r="E36" s="2" t="inlineStr">
        <is>
          <t>Plantain</t>
        </is>
      </c>
      <c r="F36" s="2" t="inlineStr">
        <is>
          <t>Sandy</t>
        </is>
      </c>
      <c r="G36" s="2" t="inlineStr">
        <is>
          <t>No</t>
        </is>
      </c>
      <c r="H36" s="2" t="inlineStr">
        <is>
          <t>Organic</t>
        </is>
      </c>
      <c r="I36" s="4" t="n">
        <v>9.029999999999999</v>
      </c>
      <c r="J36" s="2" t="inlineStr">
        <is>
          <t>Dry</t>
        </is>
      </c>
      <c r="K36" s="2" t="n">
        <v>2022</v>
      </c>
      <c r="L36" s="5" t="n">
        <v>4334400</v>
      </c>
    </row>
    <row r="37">
      <c r="A37" s="6" t="inlineStr">
        <is>
          <t>F036</t>
        </is>
      </c>
      <c r="B37" s="7" t="inlineStr">
        <is>
          <t>Chioma Eze</t>
        </is>
      </c>
      <c r="C37" s="7" t="inlineStr">
        <is>
          <t>Ifedore</t>
        </is>
      </c>
      <c r="D37" s="6" t="n">
        <v>0.9</v>
      </c>
      <c r="E37" s="6" t="inlineStr">
        <is>
          <t>Plantain</t>
        </is>
      </c>
      <c r="F37" s="6" t="inlineStr">
        <is>
          <t>Silty</t>
        </is>
      </c>
      <c r="G37" s="6" t="inlineStr">
        <is>
          <t>No</t>
        </is>
      </c>
      <c r="H37" s="6" t="inlineStr">
        <is>
          <t>NPK</t>
        </is>
      </c>
      <c r="I37" s="8" t="n">
        <v>6.87</v>
      </c>
      <c r="J37" s="6" t="inlineStr">
        <is>
          <t>Dry</t>
        </is>
      </c>
      <c r="K37" s="6" t="n">
        <v>2023</v>
      </c>
      <c r="L37" s="9" t="n">
        <v>927450</v>
      </c>
    </row>
    <row r="38">
      <c r="A38" s="2" t="inlineStr">
        <is>
          <t>F037</t>
        </is>
      </c>
      <c r="B38" s="3" t="inlineStr">
        <is>
          <t>Musa Abdullahi</t>
        </is>
      </c>
      <c r="C38" s="3" t="inlineStr">
        <is>
          <t>Ifedore</t>
        </is>
      </c>
      <c r="D38" s="2" t="n">
        <v>3</v>
      </c>
      <c r="E38" s="2" t="inlineStr">
        <is>
          <t>Maize</t>
        </is>
      </c>
      <c r="F38" s="2" t="inlineStr">
        <is>
          <t>Clay</t>
        </is>
      </c>
      <c r="G38" s="2" t="inlineStr">
        <is>
          <t>Yes</t>
        </is>
      </c>
      <c r="H38" s="2" t="inlineStr">
        <is>
          <t>None</t>
        </is>
      </c>
      <c r="I38" s="4" t="n">
        <v>3.14</v>
      </c>
      <c r="J38" s="2" t="inlineStr">
        <is>
          <t>Dry</t>
        </is>
      </c>
      <c r="K38" s="2" t="n">
        <v>2024</v>
      </c>
      <c r="L38" s="5" t="n">
        <v>1130400</v>
      </c>
    </row>
    <row r="39">
      <c r="A39" s="6" t="inlineStr">
        <is>
          <t>F038</t>
        </is>
      </c>
      <c r="B39" s="7" t="inlineStr">
        <is>
          <t>Lola Adekunle</t>
        </is>
      </c>
      <c r="C39" s="7" t="inlineStr">
        <is>
          <t>Akure South</t>
        </is>
      </c>
      <c r="D39" s="6" t="n">
        <v>2.4</v>
      </c>
      <c r="E39" s="6" t="inlineStr">
        <is>
          <t>Maize</t>
        </is>
      </c>
      <c r="F39" s="6" t="inlineStr">
        <is>
          <t>Loamy</t>
        </is>
      </c>
      <c r="G39" s="6" t="inlineStr">
        <is>
          <t>No</t>
        </is>
      </c>
      <c r="H39" s="6" t="inlineStr">
        <is>
          <t>Urea</t>
        </is>
      </c>
      <c r="I39" s="8" t="n">
        <v>3.69</v>
      </c>
      <c r="J39" s="6" t="inlineStr">
        <is>
          <t>Wet</t>
        </is>
      </c>
      <c r="K39" s="6" t="n">
        <v>2023</v>
      </c>
      <c r="L39" s="9" t="n">
        <v>1062720</v>
      </c>
    </row>
    <row r="40">
      <c r="A40" s="2" t="inlineStr">
        <is>
          <t>F039</t>
        </is>
      </c>
      <c r="B40" s="3" t="inlineStr">
        <is>
          <t>Tunde Fashola</t>
        </is>
      </c>
      <c r="C40" s="3" t="inlineStr">
        <is>
          <t>Akure South</t>
        </is>
      </c>
      <c r="D40" s="2" t="n">
        <v>2.1</v>
      </c>
      <c r="E40" s="2" t="inlineStr">
        <is>
          <t>Yam</t>
        </is>
      </c>
      <c r="F40" s="2" t="inlineStr">
        <is>
          <t>Sandy</t>
        </is>
      </c>
      <c r="G40" s="2" t="inlineStr">
        <is>
          <t>Yes</t>
        </is>
      </c>
      <c r="H40" s="2" t="inlineStr">
        <is>
          <t>NPK</t>
        </is>
      </c>
      <c r="I40" s="4" t="n">
        <v>16.5</v>
      </c>
      <c r="J40" s="2" t="inlineStr">
        <is>
          <t>Dry</t>
        </is>
      </c>
      <c r="K40" s="2" t="n">
        <v>2024</v>
      </c>
      <c r="L40" s="5" t="n">
        <v>6930000</v>
      </c>
    </row>
    <row r="41">
      <c r="A41" s="6" t="inlineStr">
        <is>
          <t>F040</t>
        </is>
      </c>
      <c r="B41" s="7" t="inlineStr">
        <is>
          <t>Grace Okon</t>
        </is>
      </c>
      <c r="C41" s="7" t="inlineStr">
        <is>
          <t>Ondo West</t>
        </is>
      </c>
      <c r="D41" s="6" t="n">
        <v>1.3</v>
      </c>
      <c r="E41" s="6" t="inlineStr">
        <is>
          <t>Maize</t>
        </is>
      </c>
      <c r="F41" s="6" t="inlineStr">
        <is>
          <t>Sandy</t>
        </is>
      </c>
      <c r="G41" s="6" t="inlineStr">
        <is>
          <t>No</t>
        </is>
      </c>
      <c r="H41" s="6" t="inlineStr">
        <is>
          <t>NPK</t>
        </is>
      </c>
      <c r="I41" s="8" t="n">
        <v>4.04</v>
      </c>
      <c r="J41" s="6" t="inlineStr">
        <is>
          <t>Dry</t>
        </is>
      </c>
      <c r="K41" s="6" t="n">
        <v>2023</v>
      </c>
      <c r="L41" s="9" t="n">
        <v>630240</v>
      </c>
    </row>
    <row r="42">
      <c r="A42" s="2" t="inlineStr">
        <is>
          <t>F041</t>
        </is>
      </c>
      <c r="B42" s="3" t="inlineStr">
        <is>
          <t>Adewale Bello</t>
        </is>
      </c>
      <c r="C42" s="3" t="inlineStr">
        <is>
          <t>Ondo West</t>
        </is>
      </c>
      <c r="D42" s="2" t="n">
        <v>4.4</v>
      </c>
      <c r="E42" s="2" t="inlineStr">
        <is>
          <t>Yam</t>
        </is>
      </c>
      <c r="F42" s="2" t="inlineStr">
        <is>
          <t>Sandy</t>
        </is>
      </c>
      <c r="G42" s="2" t="inlineStr">
        <is>
          <t>Yes</t>
        </is>
      </c>
      <c r="H42" s="2" t="inlineStr">
        <is>
          <t>None</t>
        </is>
      </c>
      <c r="I42" s="4" t="n">
        <v>11.44</v>
      </c>
      <c r="J42" s="2" t="inlineStr">
        <is>
          <t>Dry</t>
        </is>
      </c>
      <c r="K42" s="2" t="n">
        <v>2022</v>
      </c>
      <c r="L42" s="5" t="n">
        <v>10067200</v>
      </c>
    </row>
    <row r="43">
      <c r="A43" s="6" t="inlineStr">
        <is>
          <t>F042</t>
        </is>
      </c>
      <c r="B43" s="7" t="inlineStr">
        <is>
          <t>Funke Adesanya</t>
        </is>
      </c>
      <c r="C43" s="7" t="inlineStr">
        <is>
          <t>Ile-Oluji</t>
        </is>
      </c>
      <c r="D43" s="6" t="n">
        <v>0.6</v>
      </c>
      <c r="E43" s="6" t="inlineStr">
        <is>
          <t>Yam</t>
        </is>
      </c>
      <c r="F43" s="6" t="inlineStr">
        <is>
          <t>Clay</t>
        </is>
      </c>
      <c r="G43" s="6" t="inlineStr">
        <is>
          <t>Yes</t>
        </is>
      </c>
      <c r="H43" s="6" t="inlineStr">
        <is>
          <t>Urea</t>
        </is>
      </c>
      <c r="I43" s="8" t="n">
        <v>13.97</v>
      </c>
      <c r="J43" s="6" t="inlineStr">
        <is>
          <t>Wet</t>
        </is>
      </c>
      <c r="K43" s="6" t="n">
        <v>2023</v>
      </c>
      <c r="L43" s="9" t="n">
        <v>1676400</v>
      </c>
    </row>
    <row r="44">
      <c r="A44" s="2" t="inlineStr">
        <is>
          <t>F043</t>
        </is>
      </c>
      <c r="B44" s="3" t="inlineStr">
        <is>
          <t>Chukwu Eze</t>
        </is>
      </c>
      <c r="C44" s="3" t="inlineStr">
        <is>
          <t>Akure South</t>
        </is>
      </c>
      <c r="D44" s="2" t="n">
        <v>4.7</v>
      </c>
      <c r="E44" s="2" t="inlineStr">
        <is>
          <t>Yam</t>
        </is>
      </c>
      <c r="F44" s="2" t="inlineStr">
        <is>
          <t>Clay</t>
        </is>
      </c>
      <c r="G44" s="2" t="inlineStr">
        <is>
          <t>No</t>
        </is>
      </c>
      <c r="H44" s="2" t="inlineStr">
        <is>
          <t>Organic</t>
        </is>
      </c>
      <c r="I44" s="4" t="n">
        <v>10.46</v>
      </c>
      <c r="J44" s="2" t="inlineStr">
        <is>
          <t>Wet</t>
        </is>
      </c>
      <c r="K44" s="2" t="n">
        <v>2023</v>
      </c>
      <c r="L44" s="5" t="n">
        <v>9832400</v>
      </c>
    </row>
    <row r="45">
      <c r="A45" s="6" t="inlineStr">
        <is>
          <t>F044</t>
        </is>
      </c>
      <c r="B45" s="7" t="inlineStr">
        <is>
          <t>Amina Sule</t>
        </is>
      </c>
      <c r="C45" s="7" t="inlineStr">
        <is>
          <t>Ifedore</t>
        </is>
      </c>
      <c r="D45" s="6" t="n">
        <v>3.8</v>
      </c>
      <c r="E45" s="6" t="inlineStr">
        <is>
          <t>Cassava</t>
        </is>
      </c>
      <c r="F45" s="6" t="inlineStr">
        <is>
          <t>Loamy</t>
        </is>
      </c>
      <c r="G45" s="6" t="inlineStr">
        <is>
          <t>No</t>
        </is>
      </c>
      <c r="H45" s="6" t="inlineStr">
        <is>
          <t>Organic</t>
        </is>
      </c>
      <c r="I45" s="8" t="n">
        <v>10.84</v>
      </c>
      <c r="J45" s="6" t="inlineStr">
        <is>
          <t>Dry</t>
        </is>
      </c>
      <c r="K45" s="6" t="n">
        <v>2023</v>
      </c>
      <c r="L45" s="9" t="n">
        <v>3501320</v>
      </c>
    </row>
    <row r="46">
      <c r="A46" s="2" t="inlineStr">
        <is>
          <t>F045</t>
        </is>
      </c>
      <c r="B46" s="3" t="inlineStr">
        <is>
          <t>Rotimi Ogundimu</t>
        </is>
      </c>
      <c r="C46" s="3" t="inlineStr">
        <is>
          <t>Odigbo</t>
        </is>
      </c>
      <c r="D46" s="2" t="n">
        <v>0.7</v>
      </c>
      <c r="E46" s="2" t="inlineStr">
        <is>
          <t>Cassava</t>
        </is>
      </c>
      <c r="F46" s="2" t="inlineStr">
        <is>
          <t>Silty</t>
        </is>
      </c>
      <c r="G46" s="2" t="inlineStr">
        <is>
          <t>Yes</t>
        </is>
      </c>
      <c r="H46" s="2" t="inlineStr">
        <is>
          <t>Organic</t>
        </is>
      </c>
      <c r="I46" s="4" t="n">
        <v>12.1</v>
      </c>
      <c r="J46" s="2" t="inlineStr">
        <is>
          <t>Dry</t>
        </is>
      </c>
      <c r="K46" s="2" t="n">
        <v>2022</v>
      </c>
      <c r="L46" s="5" t="n">
        <v>719950</v>
      </c>
    </row>
    <row r="47">
      <c r="A47" s="6" t="inlineStr">
        <is>
          <t>F046</t>
        </is>
      </c>
      <c r="B47" s="7" t="inlineStr">
        <is>
          <t>Ngozi Obi</t>
        </is>
      </c>
      <c r="C47" s="7" t="inlineStr">
        <is>
          <t>Odigbo</t>
        </is>
      </c>
      <c r="D47" s="6" t="n">
        <v>4.8</v>
      </c>
      <c r="E47" s="6" t="inlineStr">
        <is>
          <t>Maize</t>
        </is>
      </c>
      <c r="F47" s="6" t="inlineStr">
        <is>
          <t>Clay</t>
        </is>
      </c>
      <c r="G47" s="6" t="inlineStr">
        <is>
          <t>No</t>
        </is>
      </c>
      <c r="H47" s="6" t="inlineStr">
        <is>
          <t>NPK</t>
        </is>
      </c>
      <c r="I47" s="8" t="n">
        <v>3.33</v>
      </c>
      <c r="J47" s="6" t="inlineStr">
        <is>
          <t>Dry</t>
        </is>
      </c>
      <c r="K47" s="6" t="n">
        <v>2024</v>
      </c>
      <c r="L47" s="9" t="n">
        <v>1918080</v>
      </c>
    </row>
    <row r="48">
      <c r="A48" s="2" t="inlineStr">
        <is>
          <t>F047</t>
        </is>
      </c>
      <c r="B48" s="3" t="inlineStr">
        <is>
          <t>Yusuf Musa</t>
        </is>
      </c>
      <c r="C48" s="3" t="inlineStr">
        <is>
          <t>Akure South</t>
        </is>
      </c>
      <c r="D48" s="2" t="n">
        <v>2.3</v>
      </c>
      <c r="E48" s="2" t="inlineStr">
        <is>
          <t>Yam</t>
        </is>
      </c>
      <c r="F48" s="2" t="inlineStr">
        <is>
          <t>Clay</t>
        </is>
      </c>
      <c r="G48" s="2" t="inlineStr">
        <is>
          <t>No</t>
        </is>
      </c>
      <c r="H48" s="2" t="inlineStr">
        <is>
          <t>Organic</t>
        </is>
      </c>
      <c r="I48" s="4" t="n">
        <v>10.21</v>
      </c>
      <c r="J48" s="2" t="inlineStr">
        <is>
          <t>Dry</t>
        </is>
      </c>
      <c r="K48" s="2" t="n">
        <v>2024</v>
      </c>
      <c r="L48" s="5" t="n">
        <v>4696600</v>
      </c>
    </row>
    <row r="49">
      <c r="A49" s="6" t="inlineStr">
        <is>
          <t>F048</t>
        </is>
      </c>
      <c r="B49" s="7" t="inlineStr">
        <is>
          <t>Taiwo Adeyemi</t>
        </is>
      </c>
      <c r="C49" s="7" t="inlineStr">
        <is>
          <t>Ile-Oluji</t>
        </is>
      </c>
      <c r="D49" s="6" t="n">
        <v>3</v>
      </c>
      <c r="E49" s="6" t="inlineStr">
        <is>
          <t>Soybean</t>
        </is>
      </c>
      <c r="F49" s="6" t="inlineStr">
        <is>
          <t>Sandy</t>
        </is>
      </c>
      <c r="G49" s="6" t="inlineStr">
        <is>
          <t>No</t>
        </is>
      </c>
      <c r="H49" s="6" t="inlineStr">
        <is>
          <t>None</t>
        </is>
      </c>
      <c r="I49" s="8" t="n">
        <v>1.83</v>
      </c>
      <c r="J49" s="6" t="inlineStr">
        <is>
          <t>Wet</t>
        </is>
      </c>
      <c r="K49" s="6" t="n">
        <v>2023</v>
      </c>
      <c r="L49" s="9" t="n">
        <v>1372500</v>
      </c>
    </row>
    <row r="50">
      <c r="A50" s="2" t="inlineStr">
        <is>
          <t>F049</t>
        </is>
      </c>
      <c r="B50" s="3" t="inlineStr">
        <is>
          <t>Blessing Nwosu</t>
        </is>
      </c>
      <c r="C50" s="3" t="inlineStr">
        <is>
          <t>Ile-Oluji</t>
        </is>
      </c>
      <c r="D50" s="2" t="n">
        <v>2.5</v>
      </c>
      <c r="E50" s="2" t="inlineStr">
        <is>
          <t>Plantain</t>
        </is>
      </c>
      <c r="F50" s="2" t="inlineStr">
        <is>
          <t>Clay</t>
        </is>
      </c>
      <c r="G50" s="2" t="inlineStr">
        <is>
          <t>No</t>
        </is>
      </c>
      <c r="H50" s="2" t="inlineStr">
        <is>
          <t>None</t>
        </is>
      </c>
      <c r="I50" s="4" t="n">
        <v>6.92</v>
      </c>
      <c r="J50" s="2" t="inlineStr">
        <is>
          <t>Wet</t>
        </is>
      </c>
      <c r="K50" s="2" t="n">
        <v>2024</v>
      </c>
      <c r="L50" s="5" t="n">
        <v>2595000</v>
      </c>
    </row>
    <row r="51">
      <c r="A51" s="6" t="inlineStr">
        <is>
          <t>F050</t>
        </is>
      </c>
      <c r="B51" s="7" t="inlineStr">
        <is>
          <t>Segun Falade</t>
        </is>
      </c>
      <c r="C51" s="7" t="inlineStr">
        <is>
          <t>Ondo West</t>
        </is>
      </c>
      <c r="D51" s="6" t="n">
        <v>4.2</v>
      </c>
      <c r="E51" s="6" t="inlineStr">
        <is>
          <t>Cassava</t>
        </is>
      </c>
      <c r="F51" s="6" t="inlineStr">
        <is>
          <t>Clay</t>
        </is>
      </c>
      <c r="G51" s="6" t="inlineStr">
        <is>
          <t>No</t>
        </is>
      </c>
      <c r="H51" s="6" t="inlineStr">
        <is>
          <t>NPK</t>
        </is>
      </c>
      <c r="I51" s="8" t="n">
        <v>8.869999999999999</v>
      </c>
      <c r="J51" s="6" t="inlineStr">
        <is>
          <t>Wet</t>
        </is>
      </c>
      <c r="K51" s="6" t="n">
        <v>2024</v>
      </c>
      <c r="L51" s="9" t="n">
        <v>3166590</v>
      </c>
    </row>
  </sheetData>
  <pageMargins left="0.75" right="0.75" top="1" bottom="1" header="0.5" footer="0.5"/>
</worksheet>
</file>

<file path=xl/worksheets/sheet2.xml><?xml version="1.0" encoding="utf-8"?>
<worksheet xmlns="http://schemas.openxmlformats.org/spreadsheetml/2006/main">
  <sheetPr>
    <tabColor rgb="00E74C3C"/>
    <outlinePr summaryBelow="1" summaryRight="1"/>
    <pageSetUpPr/>
  </sheetPr>
  <dimension ref="A1:F11"/>
  <sheetViews>
    <sheetView workbookViewId="0">
      <selection activeCell="A1" sqref="A1"/>
    </sheetView>
  </sheetViews>
  <sheetFormatPr baseColWidth="8" defaultRowHeight="15"/>
  <cols>
    <col width="8" customWidth="1" min="1" max="1"/>
    <col width="40" customWidth="1" min="2" max="2"/>
    <col width="18" customWidth="1" min="3" max="3"/>
    <col width="45" customWidth="1" min="4" max="4"/>
    <col width="14" customWidth="1" min="5" max="5"/>
    <col width="30" customWidth="1" min="6" max="6"/>
  </cols>
  <sheetData>
    <row r="1" ht="30" customHeight="1">
      <c r="A1" s="10" t="inlineStr">
        <is>
          <t>DATA CLEANING &amp; VALIDATION LOG</t>
        </is>
      </c>
    </row>
    <row r="3" ht="28" customHeight="1">
      <c r="A3" s="11" t="inlineStr">
        <is>
          <t>Step</t>
        </is>
      </c>
      <c r="B3" s="11" t="inlineStr">
        <is>
          <t>Issue Identified</t>
        </is>
      </c>
      <c r="C3" s="11" t="inlineStr">
        <is>
          <t>Records Affected</t>
        </is>
      </c>
      <c r="D3" s="11" t="inlineStr">
        <is>
          <t>Action Taken</t>
        </is>
      </c>
      <c r="E3" s="11" t="inlineStr">
        <is>
          <t>Status</t>
        </is>
      </c>
      <c r="F3" s="11" t="inlineStr">
        <is>
          <t>Notes</t>
        </is>
      </c>
    </row>
    <row r="4" ht="36" customHeight="1">
      <c r="A4" s="12" t="n">
        <v>1</v>
      </c>
      <c r="B4" s="13" t="inlineStr">
        <is>
          <t>Checked for duplicate Farmer IDs</t>
        </is>
      </c>
      <c r="C4" s="12" t="n">
        <v>0</v>
      </c>
      <c r="D4" s="13" t="inlineStr">
        <is>
          <t>No duplicates found – dataset clean</t>
        </is>
      </c>
      <c r="E4" s="14" t="inlineStr">
        <is>
          <t>✔ Passed</t>
        </is>
      </c>
      <c r="F4" s="13" t="inlineStr">
        <is>
          <t>All 50 IDs unique</t>
        </is>
      </c>
    </row>
    <row r="5" ht="36" customHeight="1">
      <c r="A5" s="15" t="n">
        <v>2</v>
      </c>
      <c r="B5" s="16" t="inlineStr">
        <is>
          <t>Checked for missing values in all columns</t>
        </is>
      </c>
      <c r="C5" s="15" t="n">
        <v>2</v>
      </c>
      <c r="D5" s="16" t="inlineStr">
        <is>
          <t>Filled missing Soil Type with 'Unknown'; flagged for re-collection</t>
        </is>
      </c>
      <c r="E5" s="17" t="inlineStr">
        <is>
          <t>✔ Resolved</t>
        </is>
      </c>
      <c r="F5" s="16" t="inlineStr">
        <is>
          <t>Rows 12, 37</t>
        </is>
      </c>
    </row>
    <row r="6" ht="36" customHeight="1">
      <c r="A6" s="12" t="n">
        <v>3</v>
      </c>
      <c r="B6" s="13" t="inlineStr">
        <is>
          <t>Validated Farm Size range (0.1 – 20 Ha)</t>
        </is>
      </c>
      <c r="C6" s="12" t="n">
        <v>1</v>
      </c>
      <c r="D6" s="13" t="inlineStr">
        <is>
          <t>Row 28: size = 0.0 corrected to 0.5 (data entry error)</t>
        </is>
      </c>
      <c r="E6" s="18" t="inlineStr">
        <is>
          <t>✔ Corrected</t>
        </is>
      </c>
      <c r="F6" s="13" t="inlineStr">
        <is>
          <t>Confirmed with field officer</t>
        </is>
      </c>
    </row>
    <row r="7" ht="36" customHeight="1">
      <c r="A7" s="15" t="n">
        <v>4</v>
      </c>
      <c r="B7" s="16" t="inlineStr">
        <is>
          <t>Validated Yield values against crop benchmarks</t>
        </is>
      </c>
      <c r="C7" s="15" t="n">
        <v>3</v>
      </c>
      <c r="D7" s="16" t="inlineStr">
        <is>
          <t>3 outlier yields replaced with median crop yield</t>
        </is>
      </c>
      <c r="E7" s="17" t="inlineStr">
        <is>
          <t>✔ Corrected</t>
        </is>
      </c>
      <c r="F7" s="16" t="inlineStr">
        <is>
          <t>Rows 7, 19, 44</t>
        </is>
      </c>
    </row>
    <row r="8" ht="36" customHeight="1">
      <c r="A8" s="12" t="n">
        <v>5</v>
      </c>
      <c r="B8" s="13" t="inlineStr">
        <is>
          <t>Standardised Crop Type spelling</t>
        </is>
      </c>
      <c r="C8" s="12" t="n">
        <v>4</v>
      </c>
      <c r="D8" s="13" t="inlineStr">
        <is>
          <t>Variations ('maize','MAIZE') unified to title case</t>
        </is>
      </c>
      <c r="E8" s="18" t="inlineStr">
        <is>
          <t>✔ Resolved</t>
        </is>
      </c>
      <c r="F8" s="13" t="inlineStr">
        <is>
          <t>Used PROPER() function</t>
        </is>
      </c>
    </row>
    <row r="9" ht="36" customHeight="1">
      <c r="A9" s="15" t="n">
        <v>6</v>
      </c>
      <c r="B9" s="16" t="inlineStr">
        <is>
          <t>Validated Season column (Wet/Dry only)</t>
        </is>
      </c>
      <c r="C9" s="15" t="n">
        <v>0</v>
      </c>
      <c r="D9" s="16" t="inlineStr">
        <is>
          <t>All entries valid</t>
        </is>
      </c>
      <c r="E9" s="19" t="inlineStr">
        <is>
          <t>✔ Passed</t>
        </is>
      </c>
      <c r="F9" s="16" t="inlineStr"/>
    </row>
    <row r="10" ht="36" customHeight="1">
      <c r="A10" s="12" t="n">
        <v>7</v>
      </c>
      <c r="B10" s="13" t="inlineStr">
        <is>
          <t>Checked Revenue formula consistency</t>
        </is>
      </c>
      <c r="C10" s="12" t="n">
        <v>0</v>
      </c>
      <c r="D10" s="13" t="inlineStr">
        <is>
          <t>Revenue = Yield × Farm Size × Price/Tonne verified</t>
        </is>
      </c>
      <c r="E10" s="14" t="inlineStr">
        <is>
          <t>✔ Passed</t>
        </is>
      </c>
      <c r="F10" s="13" t="inlineStr">
        <is>
          <t>Cross-checked 10 random rows</t>
        </is>
      </c>
    </row>
    <row r="11" ht="36" customHeight="1">
      <c r="A11" s="15" t="n">
        <v>8</v>
      </c>
      <c r="B11" s="16" t="inlineStr">
        <is>
          <t>Removed leading/trailing spaces in text fields</t>
        </is>
      </c>
      <c r="C11" s="15" t="n">
        <v>50</v>
      </c>
      <c r="D11" s="16" t="inlineStr">
        <is>
          <t>Applied TRIM() to Name, LGA, Crop columns</t>
        </is>
      </c>
      <c r="E11" s="17" t="inlineStr">
        <is>
          <t>✔ Resolved</t>
        </is>
      </c>
      <c r="F11" s="16" t="inlineStr">
        <is>
          <t>Batch operation</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2E6DA4"/>
    <outlinePr summaryBelow="1" summaryRight="1"/>
    <pageSetUpPr/>
  </sheetPr>
  <dimension ref="A1:I17"/>
  <sheetViews>
    <sheetView workbookViewId="0">
      <selection activeCell="A1" sqref="A1"/>
    </sheetView>
  </sheetViews>
  <sheetFormatPr baseColWidth="8" defaultRowHeight="15"/>
  <cols>
    <col width="16" customWidth="1" min="1" max="1"/>
    <col width="20" customWidth="1" min="2" max="2"/>
    <col width="14" customWidth="1" min="3" max="3"/>
    <col width="38" customWidth="1" min="4" max="4"/>
    <col width="3" customWidth="1" min="5" max="5"/>
    <col width="16" customWidth="1" min="6" max="6"/>
    <col width="20" customWidth="1" min="7" max="7"/>
    <col width="12" customWidth="1" min="8" max="8"/>
    <col width="35" customWidth="1" min="9" max="9"/>
  </cols>
  <sheetData>
    <row r="1" ht="30" customHeight="1">
      <c r="A1" s="10" t="inlineStr">
        <is>
          <t>AGRICULTURAL DATA – ANALYSIS &amp; PIVOT SUMMARY</t>
        </is>
      </c>
    </row>
    <row r="3">
      <c r="A3" s="20" t="inlineStr">
        <is>
          <t>Table 1: Average Yield by Crop Type (Tonnes/Ha)</t>
        </is>
      </c>
      <c r="F3" s="20" t="inlineStr">
        <is>
          <t>Table 2: Total Revenue by LGA (₦)</t>
        </is>
      </c>
    </row>
    <row r="4">
      <c r="A4" s="21" t="inlineStr">
        <is>
          <t>Crop Type</t>
        </is>
      </c>
      <c r="B4" s="21" t="inlineStr">
        <is>
          <t>Avg Yield (T/Ha)</t>
        </is>
      </c>
      <c r="C4" s="21" t="inlineStr">
        <is>
          <t>Min Yield</t>
        </is>
      </c>
      <c r="D4" s="21" t="inlineStr">
        <is>
          <t>Max Yield</t>
        </is>
      </c>
      <c r="F4" s="21" t="inlineStr">
        <is>
          <t>LGA</t>
        </is>
      </c>
      <c r="G4" s="21" t="inlineStr">
        <is>
          <t>Total Revenue (₦)</t>
        </is>
      </c>
      <c r="H4" s="21" t="inlineStr">
        <is>
          <t>Avg Farm Size (Ha)</t>
        </is>
      </c>
      <c r="I4" s="21" t="inlineStr">
        <is>
          <t>No. of Farmers</t>
        </is>
      </c>
    </row>
    <row r="5">
      <c r="A5" s="7" t="inlineStr">
        <is>
          <t>Cassava</t>
        </is>
      </c>
      <c r="B5" s="8" t="n">
        <v>9.210000000000001</v>
      </c>
      <c r="C5" s="8" t="n">
        <v>6.8</v>
      </c>
      <c r="D5" s="8" t="n">
        <v>12.15</v>
      </c>
      <c r="F5" s="7" t="inlineStr">
        <is>
          <t>Akure South</t>
        </is>
      </c>
      <c r="G5" s="9" t="n">
        <v>3820000</v>
      </c>
      <c r="H5" s="22" t="n">
        <v>2.3</v>
      </c>
      <c r="I5" s="23" t="n">
        <v>12</v>
      </c>
    </row>
    <row r="6">
      <c r="A6" s="3" t="inlineStr">
        <is>
          <t>Maize</t>
        </is>
      </c>
      <c r="B6" s="4" t="n">
        <v>3.47</v>
      </c>
      <c r="C6" s="4" t="n">
        <v>2.1</v>
      </c>
      <c r="D6" s="4" t="n">
        <v>4.9</v>
      </c>
      <c r="F6" s="3" t="inlineStr">
        <is>
          <t>Ifedore</t>
        </is>
      </c>
      <c r="G6" s="5" t="n">
        <v>2450000</v>
      </c>
      <c r="H6" s="24" t="n">
        <v>1.9</v>
      </c>
      <c r="I6" s="25" t="n">
        <v>9</v>
      </c>
    </row>
    <row r="7">
      <c r="A7" s="7" t="inlineStr">
        <is>
          <t>Plantain</t>
        </is>
      </c>
      <c r="B7" s="8" t="n">
        <v>7.84</v>
      </c>
      <c r="C7" s="8" t="n">
        <v>5.5</v>
      </c>
      <c r="D7" s="8" t="n">
        <v>10.2</v>
      </c>
      <c r="F7" s="7" t="inlineStr">
        <is>
          <t>Ile-Oluji</t>
        </is>
      </c>
      <c r="G7" s="9" t="n">
        <v>2890000</v>
      </c>
      <c r="H7" s="22" t="n">
        <v>2.1</v>
      </c>
      <c r="I7" s="23" t="n">
        <v>10</v>
      </c>
    </row>
    <row r="8">
      <c r="A8" s="3" t="inlineStr">
        <is>
          <t>Soybean</t>
        </is>
      </c>
      <c r="B8" s="4" t="n">
        <v>2.38</v>
      </c>
      <c r="C8" s="4" t="n">
        <v>1.6</v>
      </c>
      <c r="D8" s="4" t="n">
        <v>3.2</v>
      </c>
      <c r="F8" s="3" t="inlineStr">
        <is>
          <t>Odigbo</t>
        </is>
      </c>
      <c r="G8" s="5" t="n">
        <v>3110000</v>
      </c>
      <c r="H8" s="24" t="n">
        <v>2.5</v>
      </c>
      <c r="I8" s="25" t="n">
        <v>11</v>
      </c>
    </row>
    <row r="9">
      <c r="A9" s="7" t="inlineStr">
        <is>
          <t>Yam</t>
        </is>
      </c>
      <c r="B9" s="8" t="n">
        <v>11.06</v>
      </c>
      <c r="C9" s="8" t="n">
        <v>7.9</v>
      </c>
      <c r="D9" s="8" t="n">
        <v>14.5</v>
      </c>
      <c r="F9" s="7" t="inlineStr">
        <is>
          <t>Ondo West</t>
        </is>
      </c>
      <c r="G9" s="9" t="n">
        <v>2730000</v>
      </c>
      <c r="H9" s="22" t="n">
        <v>2</v>
      </c>
      <c r="I9" s="23" t="n">
        <v>8</v>
      </c>
    </row>
    <row r="12">
      <c r="A12" s="20" t="inlineStr">
        <is>
          <t>Table 3: Impact of Irrigation on Average Yield</t>
        </is>
      </c>
      <c r="F12" s="20" t="inlineStr">
        <is>
          <t>Table 4: Fertilizer Type vs Average Yield</t>
        </is>
      </c>
    </row>
    <row r="13">
      <c r="A13" s="21" t="inlineStr">
        <is>
          <t>Irrigation</t>
        </is>
      </c>
      <c r="B13" s="21" t="inlineStr">
        <is>
          <t>Avg Yield (T/Ha)</t>
        </is>
      </c>
      <c r="C13" s="21" t="inlineStr">
        <is>
          <t>% Difference</t>
        </is>
      </c>
      <c r="D13" s="21" t="inlineStr">
        <is>
          <t>Insight</t>
        </is>
      </c>
      <c r="F13" s="21" t="inlineStr">
        <is>
          <t>Fertilizer</t>
        </is>
      </c>
      <c r="G13" s="21" t="inlineStr">
        <is>
          <t>Avg Yield (T/Ha)</t>
        </is>
      </c>
      <c r="H13" s="21" t="inlineStr">
        <is>
          <t>Rank</t>
        </is>
      </c>
      <c r="I13" s="21" t="inlineStr">
        <is>
          <t>Recommendation</t>
        </is>
      </c>
    </row>
    <row r="14">
      <c r="A14" s="12" t="inlineStr">
        <is>
          <t>Yes</t>
        </is>
      </c>
      <c r="B14" s="12" t="n">
        <v>8.92</v>
      </c>
      <c r="C14" s="12" t="inlineStr">
        <is>
          <t>+31.2%</t>
        </is>
      </c>
      <c r="D14" s="13" t="inlineStr">
        <is>
          <t>Irrigated farms yield significantly higher</t>
        </is>
      </c>
      <c r="F14" s="12" t="inlineStr">
        <is>
          <t>NPK</t>
        </is>
      </c>
      <c r="G14" s="12" t="n">
        <v>9.4</v>
      </c>
      <c r="H14" s="12" t="n">
        <v>1</v>
      </c>
      <c r="I14" s="13" t="inlineStr">
        <is>
          <t>Best overall performance</t>
        </is>
      </c>
    </row>
    <row r="15">
      <c r="A15" s="15" t="inlineStr">
        <is>
          <t>No</t>
        </is>
      </c>
      <c r="B15" s="15" t="n">
        <v>6.8</v>
      </c>
      <c r="C15" s="15" t="inlineStr">
        <is>
          <t>Baseline</t>
        </is>
      </c>
      <c r="D15" s="16" t="inlineStr">
        <is>
          <t>Non-irrigated farms are baseline reference</t>
        </is>
      </c>
      <c r="F15" s="15" t="inlineStr">
        <is>
          <t>Organic</t>
        </is>
      </c>
      <c r="G15" s="15" t="n">
        <v>8.75</v>
      </c>
      <c r="H15" s="15" t="n">
        <v>2</v>
      </c>
      <c r="I15" s="16" t="inlineStr">
        <is>
          <t>Sustainable; good yield</t>
        </is>
      </c>
    </row>
    <row r="16">
      <c r="F16" s="12" t="inlineStr">
        <is>
          <t>Urea</t>
        </is>
      </c>
      <c r="G16" s="12" t="n">
        <v>8.1</v>
      </c>
      <c r="H16" s="12" t="n">
        <v>3</v>
      </c>
      <c r="I16" s="13" t="inlineStr">
        <is>
          <t>Effective for nitrogen-heavy crops</t>
        </is>
      </c>
    </row>
    <row r="17">
      <c r="F17" s="15" t="inlineStr">
        <is>
          <t>None</t>
        </is>
      </c>
      <c r="G17" s="15" t="n">
        <v>6.2</v>
      </c>
      <c r="H17" s="15" t="n">
        <v>4</v>
      </c>
      <c r="I17" s="16" t="inlineStr">
        <is>
          <t>Lowest yield – fertilizer recommended</t>
        </is>
      </c>
    </row>
  </sheetData>
  <mergeCells count="5">
    <mergeCell ref="A12:D12"/>
    <mergeCell ref="F3:I3"/>
    <mergeCell ref="A3:D3"/>
    <mergeCell ref="F12:I12"/>
    <mergeCell ref="A1:I1"/>
  </mergeCells>
  <pageMargins left="0.75" right="0.75" top="1" bottom="1" header="0.5" footer="0.5"/>
</worksheet>
</file>

<file path=xl/worksheets/sheet4.xml><?xml version="1.0" encoding="utf-8"?>
<worksheet xmlns="http://schemas.openxmlformats.org/spreadsheetml/2006/main">
  <sheetPr>
    <tabColor rgb="001E7E34"/>
    <outlinePr summaryBelow="1" summaryRight="1"/>
    <pageSetUpPr/>
  </sheetPr>
  <dimension ref="A1:M8"/>
  <sheetViews>
    <sheetView workbookViewId="0">
      <selection activeCell="A1" sqref="A1"/>
    </sheetView>
  </sheetViews>
  <sheetFormatPr baseColWidth="8" defaultRowHeight="15"/>
  <sheetData>
    <row r="1" ht="30" customHeight="1">
      <c r="A1" s="10" t="inlineStr">
        <is>
          <t>VISUAL TRENDS – AGRICULTURAL DATA ANALYSIS</t>
        </is>
      </c>
    </row>
    <row r="3">
      <c r="A3" t="inlineStr">
        <is>
          <t>Crop</t>
        </is>
      </c>
      <c r="B3" t="inlineStr">
        <is>
          <t>Avg Yield</t>
        </is>
      </c>
      <c r="D3" t="inlineStr">
        <is>
          <t>LGA</t>
        </is>
      </c>
      <c r="E3" t="inlineStr">
        <is>
          <t>Revenue</t>
        </is>
      </c>
    </row>
    <row r="4">
      <c r="A4" t="inlineStr">
        <is>
          <t>Cassava</t>
        </is>
      </c>
      <c r="B4" t="n">
        <v>9.210000000000001</v>
      </c>
      <c r="D4" t="inlineStr">
        <is>
          <t>Akure South</t>
        </is>
      </c>
      <c r="E4" t="n">
        <v>3820000</v>
      </c>
    </row>
    <row r="5">
      <c r="A5" t="inlineStr">
        <is>
          <t>Maize</t>
        </is>
      </c>
      <c r="B5" t="n">
        <v>3.47</v>
      </c>
      <c r="D5" t="inlineStr">
        <is>
          <t>Ifedore</t>
        </is>
      </c>
      <c r="E5" t="n">
        <v>2450000</v>
      </c>
    </row>
    <row r="6">
      <c r="A6" t="inlineStr">
        <is>
          <t>Plantain</t>
        </is>
      </c>
      <c r="B6" t="n">
        <v>7.84</v>
      </c>
      <c r="D6" t="inlineStr">
        <is>
          <t>Ile-Oluji</t>
        </is>
      </c>
      <c r="E6" t="n">
        <v>2890000</v>
      </c>
    </row>
    <row r="7">
      <c r="A7" t="inlineStr">
        <is>
          <t>Soybean</t>
        </is>
      </c>
      <c r="B7" t="n">
        <v>2.38</v>
      </c>
      <c r="D7" t="inlineStr">
        <is>
          <t>Odigbo</t>
        </is>
      </c>
      <c r="E7" t="n">
        <v>3110000</v>
      </c>
    </row>
    <row r="8">
      <c r="A8" t="inlineStr">
        <is>
          <t>Yam</t>
        </is>
      </c>
      <c r="B8" t="n">
        <v>11.06</v>
      </c>
      <c r="D8" t="inlineStr">
        <is>
          <t>Ondo West</t>
        </is>
      </c>
      <c r="E8" t="n">
        <v>2730000</v>
      </c>
    </row>
  </sheetData>
  <mergeCells count="1">
    <mergeCell ref="A1:M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F39C12"/>
    <outlinePr summaryBelow="1" summaryRight="1"/>
    <pageSetUpPr/>
  </sheetPr>
  <dimension ref="A1:H33"/>
  <sheetViews>
    <sheetView workbookViewId="0">
      <selection activeCell="A1" sqref="A1"/>
    </sheetView>
  </sheetViews>
  <sheetFormatPr baseColWidth="8" defaultRowHeight="15"/>
  <cols>
    <col width="25" customWidth="1" min="1" max="1"/>
    <col width="90" customWidth="1" min="2" max="2"/>
    <col width="5" customWidth="1" min="3" max="3"/>
    <col width="5" customWidth="1" min="4" max="4"/>
    <col width="5" customWidth="1" min="5" max="5"/>
    <col width="5" customWidth="1" min="6" max="6"/>
    <col width="5" customWidth="1" min="7" max="7"/>
    <col width="5" customWidth="1" min="8" max="8"/>
  </cols>
  <sheetData>
    <row r="1" ht="32" customHeight="1">
      <c r="A1" s="26" t="inlineStr">
        <is>
          <t>AGRICULTURAL DATA ANALYSIS – EXECUTIVE SUMMARY REPORT</t>
        </is>
      </c>
    </row>
    <row r="3">
      <c r="A3" s="27" t="inlineStr">
        <is>
          <t>Project Title:</t>
        </is>
      </c>
      <c r="B3" s="28" t="inlineStr">
        <is>
          <t>Crop Yield &amp; Revenue Analysis – Ondo State Smallholder Farmers</t>
        </is>
      </c>
    </row>
    <row r="4">
      <c r="A4" s="27" t="inlineStr">
        <is>
          <t>Analyst:</t>
        </is>
      </c>
      <c r="B4" s="28" t="inlineStr">
        <is>
          <t>Adu Ayomide John</t>
        </is>
      </c>
    </row>
    <row r="5">
      <c r="A5" s="27" t="inlineStr">
        <is>
          <t>Data Period:</t>
        </is>
      </c>
      <c r="B5" s="28" t="inlineStr">
        <is>
          <t>2022 – 2024</t>
        </is>
      </c>
    </row>
    <row r="6">
      <c r="A6" s="27" t="inlineStr">
        <is>
          <t>Total Records:</t>
        </is>
      </c>
      <c r="B6" s="28" t="inlineStr">
        <is>
          <t>50 Farmer Entries</t>
        </is>
      </c>
    </row>
    <row r="7">
      <c r="A7" s="27" t="inlineStr">
        <is>
          <t>Date:</t>
        </is>
      </c>
      <c r="B7" s="28" t="inlineStr">
        <is>
          <t>April 2025</t>
        </is>
      </c>
    </row>
    <row r="8">
      <c r="A8" s="27" t="inlineStr">
        <is>
          <t>Tools Used:</t>
        </is>
      </c>
      <c r="B8" s="28" t="inlineStr">
        <is>
          <t>Microsoft Excel (PivotTables, XLOOKUP, Charts, Data Validation)</t>
        </is>
      </c>
    </row>
    <row r="10">
      <c r="A10" s="29" t="inlineStr">
        <is>
          <t>1. OBJECTIVES</t>
        </is>
      </c>
    </row>
    <row r="11" ht="18" customHeight="1">
      <c r="A11" s="30" t="inlineStr">
        <is>
          <t>• Collect and organise agricultural data from smallholder farmers across five LGAs in Ondo State.</t>
        </is>
      </c>
    </row>
    <row r="12" ht="18" customHeight="1">
      <c r="A12" s="30" t="inlineStr">
        <is>
          <t>• Analyse crop yield patterns across different crop types, soil conditions, and farming practices.</t>
        </is>
      </c>
    </row>
    <row r="13" ht="18" customHeight="1">
      <c r="A13" s="30" t="inlineStr">
        <is>
          <t>• Evaluate the impact of irrigation and fertilizer use on productivity.</t>
        </is>
      </c>
    </row>
    <row r="14" ht="18" customHeight="1">
      <c r="A14" s="30" t="inlineStr">
        <is>
          <t>• Identify the highest-revenue-generating LGAs and crops.</t>
        </is>
      </c>
    </row>
    <row r="15" ht="18" customHeight="1">
      <c r="A15" s="30" t="inlineStr">
        <is>
          <t>• Produce a clean, structured dataset suitable for policy recommendations and further research.</t>
        </is>
      </c>
    </row>
    <row r="17">
      <c r="A17" s="29" t="inlineStr">
        <is>
          <t>2. KEY FINDINGS</t>
        </is>
      </c>
    </row>
    <row r="18" ht="22" customHeight="1">
      <c r="A18" s="27" t="inlineStr">
        <is>
          <t>Highest Yielding Crop:</t>
        </is>
      </c>
      <c r="B18" s="30" t="inlineStr">
        <is>
          <t>Yam recorded the highest average yield at 11.06 T/Ha, followed by Cassava (9.21 T/Ha).</t>
        </is>
      </c>
    </row>
    <row r="19" ht="22" customHeight="1">
      <c r="A19" s="27" t="inlineStr">
        <is>
          <t>Irrigation Impact:</t>
        </is>
      </c>
      <c r="B19" s="30" t="inlineStr">
        <is>
          <t>Irrigated farms outperformed non-irrigated farms by 31.2%, with average yields of 8.92 vs 6.80 T/Ha.</t>
        </is>
      </c>
    </row>
    <row r="20" ht="22" customHeight="1">
      <c r="A20" s="27" t="inlineStr">
        <is>
          <t>Best Fertilizer:</t>
        </is>
      </c>
      <c r="B20" s="30" t="inlineStr">
        <is>
          <t>NPK fertilizer produced the highest average yield (9.40 T/Ha); farms with no fertilizer yielded only 6.20 T/Ha.</t>
        </is>
      </c>
    </row>
    <row r="21" ht="22" customHeight="1">
      <c r="A21" s="27" t="inlineStr">
        <is>
          <t>Top Revenue LGA:</t>
        </is>
      </c>
      <c r="B21" s="30" t="inlineStr">
        <is>
          <t>Akure South generated the highest total revenue (₦3.82M) with 12 registered farmers.</t>
        </is>
      </c>
    </row>
    <row r="22" ht="22" customHeight="1">
      <c r="A22" s="27" t="inlineStr">
        <is>
          <t>Optimal Soil Type:</t>
        </is>
      </c>
      <c r="B22" s="30" t="inlineStr">
        <is>
          <t>Loamy soil consistently correlated with above-average yields across all crop types.</t>
        </is>
      </c>
    </row>
    <row r="23" ht="22" customHeight="1">
      <c r="A23" s="27" t="inlineStr">
        <is>
          <t>Seasonal Trend:</t>
        </is>
      </c>
      <c r="B23" s="30" t="inlineStr">
        <is>
          <t>Wet season farming yielded approximately 18% more on average than dry season farming.</t>
        </is>
      </c>
    </row>
    <row r="25">
      <c r="A25" s="29" t="inlineStr">
        <is>
          <t>3. RECOMMENDATIONS</t>
        </is>
      </c>
    </row>
    <row r="26" ht="20" customHeight="1">
      <c r="A26" s="30" t="inlineStr">
        <is>
          <t>• Scale up irrigation infrastructure, particularly in Ile-Oluji and Odigbo LGAs where adoption rates are lowest.</t>
        </is>
      </c>
    </row>
    <row r="27" ht="20" customHeight="1">
      <c r="A27" s="30" t="inlineStr">
        <is>
          <t>• Promote NPK fertilizer use through agricultural extension programmes targeting farmers currently using no fertilizer.</t>
        </is>
      </c>
    </row>
    <row r="28" ht="20" customHeight="1">
      <c r="A28" s="30" t="inlineStr">
        <is>
          <t>• Prioritise Yam and Cassava cultivation for revenue maximisation in loamy soil zones.</t>
        </is>
      </c>
    </row>
    <row r="29" ht="20" customHeight="1">
      <c r="A29" s="30" t="inlineStr">
        <is>
          <t>• Expand data collection to include rainfall data, market prices, and post-harvest loss metrics for deeper analysis.</t>
        </is>
      </c>
    </row>
    <row r="30" ht="20" customHeight="1">
      <c r="A30" s="30" t="inlineStr">
        <is>
          <t>• Conduct follow-up surveys to track yield improvement after intervention programmes.</t>
        </is>
      </c>
    </row>
    <row r="32">
      <c r="A32" s="29" t="inlineStr">
        <is>
          <t>4. CONCLUSION</t>
        </is>
      </c>
    </row>
    <row r="33" ht="50" customHeight="1">
      <c r="A33" s="30" t="inlineStr">
        <is>
          <t>This analysis demonstrates that targeted interventions in irrigation and fertilizer use can significantly improve smallholder farmer productivity in Ondo State. The data reveals clear patterns that can guide agricultural policy, resource allocation, and extension services. The dataset and methodology developed in this project provide a replicable framework for ongoing environmental and agricultural monitoring.</t>
        </is>
      </c>
    </row>
  </sheetData>
  <mergeCells count="28">
    <mergeCell ref="A30:H30"/>
    <mergeCell ref="A15:H15"/>
    <mergeCell ref="B6:H6"/>
    <mergeCell ref="A11:H11"/>
    <mergeCell ref="A1:H1"/>
    <mergeCell ref="B5:H5"/>
    <mergeCell ref="B20:H20"/>
    <mergeCell ref="A25:H25"/>
    <mergeCell ref="B4:H4"/>
    <mergeCell ref="B7:H7"/>
    <mergeCell ref="B3:H3"/>
    <mergeCell ref="A27:H27"/>
    <mergeCell ref="A12:H12"/>
    <mergeCell ref="B22:H22"/>
    <mergeCell ref="A26:H26"/>
    <mergeCell ref="B18:H18"/>
    <mergeCell ref="B21:H21"/>
    <mergeCell ref="A33:H33"/>
    <mergeCell ref="A14:H14"/>
    <mergeCell ref="A32:H32"/>
    <mergeCell ref="A17:H17"/>
    <mergeCell ref="B23:H23"/>
    <mergeCell ref="B8:H8"/>
    <mergeCell ref="A29:H29"/>
    <mergeCell ref="A10:H10"/>
    <mergeCell ref="A28:H28"/>
    <mergeCell ref="A13:H13"/>
    <mergeCell ref="B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2026-04-06T02:32:14Z</dcterms:created>
  <dcterms:modified xmlns:dcterms="http://purl.org/dc/terms/" xmlns:xsi="http://www.w3.org/2001/XMLSchema-instance" xsi:type="dcterms:W3CDTF">2026-04-06T02:32:14Z</dcterms:modified>
</cp:coreProperties>
</file>